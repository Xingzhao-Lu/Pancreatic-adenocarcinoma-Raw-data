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0-编辑-MG\000-编辑组项目\稿件\P项目\P1042_孔慧\P1042_原始实验数据_peerJ\"/>
    </mc:Choice>
  </mc:AlternateContent>
  <xr:revisionPtr revIDLastSave="0" documentId="13_ncr:1_{648E6A58-1721-49FB-9373-A1EF5B5F0D7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analysis" sheetId="1" r:id="rId1"/>
    <sheet name="ra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F55" i="1" s="1"/>
  <c r="D54" i="1"/>
  <c r="F54" i="1" s="1"/>
  <c r="D53" i="1"/>
  <c r="F53" i="1" s="1"/>
  <c r="D52" i="1"/>
  <c r="F52" i="1" s="1"/>
  <c r="D51" i="1"/>
  <c r="F51" i="1" s="1"/>
  <c r="D50" i="1"/>
  <c r="F50" i="1" s="1"/>
  <c r="D49" i="1"/>
  <c r="F49" i="1" s="1"/>
  <c r="D48" i="1"/>
  <c r="F48" i="1" s="1"/>
  <c r="D47" i="1"/>
  <c r="F47" i="1" s="1"/>
  <c r="D46" i="1"/>
  <c r="F46" i="1" s="1"/>
  <c r="D45" i="1"/>
  <c r="F45" i="1" s="1"/>
  <c r="D44" i="1"/>
  <c r="F44" i="1" s="1"/>
  <c r="D43" i="1"/>
  <c r="F43" i="1" s="1"/>
  <c r="D42" i="1"/>
  <c r="F42" i="1" s="1"/>
  <c r="D41" i="1"/>
  <c r="F41" i="1" s="1"/>
  <c r="D40" i="1"/>
  <c r="F40" i="1" s="1"/>
  <c r="D39" i="1"/>
  <c r="F39" i="1" s="1"/>
  <c r="D38" i="1"/>
  <c r="F38" i="1" s="1"/>
  <c r="G47" i="1" l="1"/>
  <c r="G48" i="1" s="1"/>
  <c r="G49" i="1" s="1"/>
  <c r="G50" i="1" s="1"/>
  <c r="G51" i="1" s="1"/>
  <c r="G52" i="1" s="1"/>
  <c r="G53" i="1" s="1"/>
  <c r="G54" i="1" s="1"/>
  <c r="G55" i="1" s="1"/>
  <c r="H55" i="1" s="1"/>
  <c r="I55" i="1" s="1"/>
  <c r="G38" i="1"/>
  <c r="G39" i="1" s="1"/>
  <c r="G40" i="1" s="1"/>
  <c r="G41" i="1" s="1"/>
  <c r="G42" i="1" s="1"/>
  <c r="G43" i="1" s="1"/>
  <c r="G44" i="1" s="1"/>
  <c r="G45" i="1" s="1"/>
  <c r="G46" i="1" s="1"/>
  <c r="H46" i="1" s="1"/>
  <c r="I46" i="1" s="1"/>
  <c r="D37" i="1"/>
  <c r="F37" i="1" s="1"/>
  <c r="D36" i="1"/>
  <c r="F36" i="1" s="1"/>
  <c r="D35" i="1"/>
  <c r="F35" i="1" s="1"/>
  <c r="D34" i="1"/>
  <c r="F34" i="1" s="1"/>
  <c r="D33" i="1"/>
  <c r="F33" i="1" s="1"/>
  <c r="D32" i="1"/>
  <c r="F32" i="1" s="1"/>
  <c r="D31" i="1"/>
  <c r="F31" i="1" s="1"/>
  <c r="D30" i="1"/>
  <c r="F30" i="1" s="1"/>
  <c r="D29" i="1"/>
  <c r="F29" i="1" s="1"/>
  <c r="H53" i="1" l="1"/>
  <c r="I53" i="1" s="1"/>
  <c r="H52" i="1"/>
  <c r="I52" i="1" s="1"/>
  <c r="H54" i="1"/>
  <c r="I54" i="1" s="1"/>
  <c r="H47" i="1"/>
  <c r="I47" i="1" s="1"/>
  <c r="H51" i="1"/>
  <c r="I51" i="1" s="1"/>
  <c r="H50" i="1"/>
  <c r="I50" i="1" s="1"/>
  <c r="H49" i="1"/>
  <c r="I49" i="1" s="1"/>
  <c r="H48" i="1"/>
  <c r="I48" i="1" s="1"/>
  <c r="H42" i="1"/>
  <c r="I42" i="1" s="1"/>
  <c r="H45" i="1"/>
  <c r="I45" i="1" s="1"/>
  <c r="H41" i="1"/>
  <c r="I41" i="1" s="1"/>
  <c r="H40" i="1"/>
  <c r="I40" i="1" s="1"/>
  <c r="H43" i="1"/>
  <c r="I43" i="1" s="1"/>
  <c r="H39" i="1"/>
  <c r="I39" i="1" s="1"/>
  <c r="H44" i="1"/>
  <c r="I44" i="1" s="1"/>
  <c r="H38" i="1"/>
  <c r="I38" i="1" s="1"/>
  <c r="G29" i="1"/>
  <c r="G30" i="1" s="1"/>
  <c r="G31" i="1" s="1"/>
  <c r="G32" i="1" s="1"/>
  <c r="G33" i="1" s="1"/>
  <c r="G34" i="1" s="1"/>
  <c r="G35" i="1" s="1"/>
  <c r="G36" i="1" s="1"/>
  <c r="G37" i="1" s="1"/>
  <c r="H37" i="1" s="1"/>
  <c r="I37" i="1" s="1"/>
  <c r="H32" i="1" l="1"/>
  <c r="I32" i="1" s="1"/>
  <c r="H30" i="1"/>
  <c r="I30" i="1" s="1"/>
  <c r="H34" i="1"/>
  <c r="I34" i="1" s="1"/>
  <c r="H33" i="1"/>
  <c r="I33" i="1" s="1"/>
  <c r="H36" i="1"/>
  <c r="I36" i="1" s="1"/>
  <c r="H35" i="1"/>
  <c r="I35" i="1" s="1"/>
  <c r="H29" i="1"/>
  <c r="I29" i="1" s="1"/>
  <c r="H31" i="1"/>
  <c r="I31" i="1" s="1"/>
  <c r="D28" i="1"/>
  <c r="F28" i="1" s="1"/>
  <c r="D27" i="1"/>
  <c r="F27" i="1" s="1"/>
  <c r="D26" i="1"/>
  <c r="F26" i="1" s="1"/>
  <c r="D25" i="1"/>
  <c r="F25" i="1" s="1"/>
  <c r="D24" i="1"/>
  <c r="F24" i="1" s="1"/>
  <c r="D23" i="1"/>
  <c r="F23" i="1" s="1"/>
  <c r="D22" i="1"/>
  <c r="F22" i="1" s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G20" i="1" l="1"/>
  <c r="G21" i="1" s="1"/>
  <c r="G22" i="1" s="1"/>
  <c r="G23" i="1" s="1"/>
  <c r="G24" i="1" s="1"/>
  <c r="G25" i="1" s="1"/>
  <c r="G26" i="1" s="1"/>
  <c r="G27" i="1" s="1"/>
  <c r="G28" i="1" s="1"/>
  <c r="H28" i="1" s="1"/>
  <c r="I28" i="1" s="1"/>
  <c r="G11" i="1"/>
  <c r="G12" i="1" s="1"/>
  <c r="G13" i="1" s="1"/>
  <c r="G14" i="1" s="1"/>
  <c r="G15" i="1" s="1"/>
  <c r="G16" i="1" s="1"/>
  <c r="G17" i="1" s="1"/>
  <c r="G18" i="1" s="1"/>
  <c r="G19" i="1" s="1"/>
  <c r="H19" i="1" s="1"/>
  <c r="I19" i="1" s="1"/>
  <c r="H25" i="1" l="1"/>
  <c r="I25" i="1" s="1"/>
  <c r="H22" i="1"/>
  <c r="I22" i="1" s="1"/>
  <c r="H21" i="1"/>
  <c r="I21" i="1" s="1"/>
  <c r="H12" i="1"/>
  <c r="I12" i="1" s="1"/>
  <c r="H27" i="1"/>
  <c r="I27" i="1" s="1"/>
  <c r="H24" i="1"/>
  <c r="I24" i="1" s="1"/>
  <c r="H26" i="1"/>
  <c r="I26" i="1" s="1"/>
  <c r="H20" i="1"/>
  <c r="I20" i="1" s="1"/>
  <c r="H23" i="1"/>
  <c r="I23" i="1" s="1"/>
  <c r="H14" i="1"/>
  <c r="I14" i="1" s="1"/>
  <c r="H15" i="1"/>
  <c r="I15" i="1" s="1"/>
  <c r="H17" i="1"/>
  <c r="I17" i="1" s="1"/>
  <c r="H11" i="1"/>
  <c r="I11" i="1" s="1"/>
  <c r="H18" i="1"/>
  <c r="I18" i="1" s="1"/>
  <c r="H16" i="1"/>
  <c r="I16" i="1" s="1"/>
  <c r="H13" i="1"/>
  <c r="I13" i="1" s="1"/>
  <c r="D10" i="1" l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D3" i="1"/>
  <c r="F3" i="1" s="1"/>
  <c r="D2" i="1"/>
  <c r="F2" i="1" s="1"/>
  <c r="G2" i="1" l="1"/>
  <c r="G3" i="1" s="1"/>
  <c r="G4" i="1" s="1"/>
  <c r="G5" i="1" s="1"/>
  <c r="G6" i="1" s="1"/>
  <c r="G7" i="1" s="1"/>
  <c r="H7" i="1" l="1"/>
  <c r="I7" i="1" s="1"/>
  <c r="G8" i="1"/>
  <c r="G9" i="1" s="1"/>
  <c r="G10" i="1" s="1"/>
  <c r="H10" i="1" s="1"/>
  <c r="I10" i="1" s="1"/>
  <c r="H6" i="1"/>
  <c r="I6" i="1" s="1"/>
  <c r="H3" i="1"/>
  <c r="I3" i="1" s="1"/>
  <c r="H5" i="1"/>
  <c r="I5" i="1" s="1"/>
  <c r="H2" i="1"/>
  <c r="I2" i="1" s="1"/>
  <c r="H4" i="1"/>
  <c r="I4" i="1" s="1"/>
  <c r="H9" i="1" l="1"/>
  <c r="I9" i="1" s="1"/>
  <c r="H8" i="1"/>
  <c r="I8" i="1" s="1"/>
</calcChain>
</file>

<file path=xl/sharedStrings.xml><?xml version="1.0" encoding="utf-8"?>
<sst xmlns="http://schemas.openxmlformats.org/spreadsheetml/2006/main" count="376" uniqueCount="91">
  <si>
    <t xml:space="preserve">Cq   </t>
  </si>
  <si>
    <t>Cq Mean</t>
  </si>
  <si>
    <t>target gene</t>
  </si>
  <si>
    <t>expression</t>
  </si>
  <si>
    <t>GAPDH</t>
  </si>
  <si>
    <t>A01</t>
  </si>
  <si>
    <t>FAM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</si>
  <si>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</si>
  <si>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</si>
  <si>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</si>
  <si>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</si>
  <si>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</si>
  <si>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</si>
  <si>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</si>
  <si>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</si>
  <si>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</si>
  <si>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</si>
  <si>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</si>
  <si>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</si>
  <si>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</si>
  <si>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</si>
  <si>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</si>
  <si>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</si>
  <si>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</si>
  <si>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</si>
  <si>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</si>
  <si>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</si>
  <si>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</si>
  <si>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</si>
  <si>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</si>
  <si>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</si>
  <si>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</si>
  <si>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</si>
  <si>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</si>
  <si>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</si>
  <si>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</si>
  <si>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Hole</t>
    <phoneticPr fontId="1" type="noConversion"/>
  </si>
  <si>
    <t>Channel</t>
    <phoneticPr fontId="1" type="noConversion"/>
  </si>
  <si>
    <t>CT</t>
    <phoneticPr fontId="1" type="noConversion"/>
  </si>
  <si>
    <t>TM</t>
    <phoneticPr fontId="1" type="noConversion"/>
  </si>
  <si>
    <t>Target gene</t>
    <phoneticPr fontId="1" type="noConversion"/>
  </si>
  <si>
    <t>Sample name</t>
  </si>
  <si>
    <t>C07</t>
  </si>
  <si>
    <t>C08</t>
  </si>
  <si>
    <t>C09</t>
  </si>
  <si>
    <t>C10</t>
  </si>
  <si>
    <t>C11</t>
  </si>
  <si>
    <t>C12</t>
  </si>
  <si>
    <t>HPDE6-C7</t>
  </si>
  <si>
    <t>HPDE6-C7</t>
    <phoneticPr fontId="1" type="noConversion"/>
  </si>
  <si>
    <t>PANC-1</t>
  </si>
  <si>
    <t>PANC-1</t>
    <phoneticPr fontId="1" type="noConversion"/>
  </si>
  <si>
    <t>Capan-2</t>
  </si>
  <si>
    <t>Capan-2</t>
    <phoneticPr fontId="1" type="noConversion"/>
  </si>
  <si>
    <t>D01</t>
    <phoneticPr fontId="1" type="noConversion"/>
  </si>
  <si>
    <t>D02</t>
  </si>
  <si>
    <t>D03</t>
  </si>
  <si>
    <t>D04</t>
  </si>
  <si>
    <t>D05</t>
  </si>
  <si>
    <t>D06</t>
  </si>
  <si>
    <t>D07</t>
  </si>
  <si>
    <t>D08</t>
  </si>
  <si>
    <t>D09</t>
  </si>
  <si>
    <t>GAPDH</t>
    <phoneticPr fontId="1" type="noConversion"/>
  </si>
  <si>
    <t>D10</t>
  </si>
  <si>
    <t>D11</t>
  </si>
  <si>
    <t>D12</t>
  </si>
  <si>
    <t>E01</t>
    <phoneticPr fontId="1" type="noConversion"/>
  </si>
  <si>
    <t>E02</t>
  </si>
  <si>
    <t>E03</t>
  </si>
  <si>
    <t>E04</t>
  </si>
  <si>
    <t>E05</t>
  </si>
  <si>
    <t>E06</t>
  </si>
  <si>
    <t>NOG</t>
    <phoneticPr fontId="1" type="noConversion"/>
  </si>
  <si>
    <t>SP1</t>
  </si>
  <si>
    <t>SP1</t>
    <phoneticPr fontId="1" type="noConversion"/>
  </si>
  <si>
    <t>EIF2A</t>
  </si>
  <si>
    <t>EIF2A</t>
    <phoneticPr fontId="1" type="noConversion"/>
  </si>
  <si>
    <t>AMH</t>
    <phoneticPr fontId="1" type="noConversion"/>
  </si>
  <si>
    <t>BCAR3</t>
  </si>
  <si>
    <t>BCAR3</t>
    <phoneticPr fontId="1" type="noConversion"/>
  </si>
  <si>
    <t>PML</t>
    <phoneticPr fontId="1" type="noConversion"/>
  </si>
  <si>
    <t>E07</t>
  </si>
  <si>
    <t>E08</t>
  </si>
  <si>
    <t>E09</t>
  </si>
  <si>
    <t>E10</t>
  </si>
  <si>
    <t>E11</t>
  </si>
  <si>
    <t>E12</t>
  </si>
  <si>
    <t>F01</t>
    <phoneticPr fontId="1" type="noConversion"/>
  </si>
  <si>
    <t>F02</t>
  </si>
  <si>
    <t>F03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</si>
</sst>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###0.00;\-###0.00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.25"/>
      <name val="Microsoft Sans Serif"/>
      <family val="2"/>
    </font>
    <font>
      <b/>
      <sz val="8.25"/>
      <name val="Microsoft Sans Serif"/>
      <family val="2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vertical="top"/>
      <protection locked="0"/>
    </xf>
    <xf numFmtId="0" fontId="6" fillId="0" borderId="0">
      <alignment vertical="center"/>
    </xf>
    <xf numFmtId="0" fontId="5" fillId="0" borderId="0"/>
  </cellStyleXfs>
  <cellXfs count="7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177" fontId="3" fillId="0" borderId="0" xfId="1" applyNumberFormat="1" applyFont="1" applyAlignment="1" applyProtection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center" vertical="center"/>
    </xf>
  </cellXfs>
  <cellStyles count="4">
    <cellStyle name="Normal" xfId="1" xr:uid="{35383C33-3018-4BD8-819F-013AC27CEC6B}"/>
    <cellStyle name="常规" xfId="0" builtinId="0"/>
    <cellStyle name="常规 2" xfId="2" xr:uid="{17429E47-C733-427F-A13B-F9927498ACAA}"/>
    <cellStyle name="常规 2 2" xfId="3" xr:uid="{77206542-0E71-4D58-8786-F0160FA63B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zoomScaleNormal="100" workbookViewId="0">
      <selection activeCell="K28" sqref="K28"/>
    </sheetView>
  </sheetViews>
  <sheetFormatPr defaultRowHeight="14" x14ac:dyDescent="0.3"/>
  <cols>
    <col min="1" max="1" width="11.75" bestFit="1" customWidth="1"/>
    <col min="9" max="9" width="12.83203125" style="5" customWidth="1"/>
  </cols>
  <sheetData>
    <row r="1" spans="1:16" s="2" customFormat="1" x14ac:dyDescent="0.3">
      <c r="A1"/>
      <c r="B1"/>
      <c r="C1" s="1" t="s">
        <v>0</v>
      </c>
      <c r="D1" s="1" t="s">
        <v>1</v>
      </c>
      <c r="E1" s="2" t="s">
        <v>2</v>
      </c>
      <c r="F1"/>
      <c r="G1"/>
      <c r="H1"/>
      <c r="I1" s="5" t="s">
        <v>3</v>
      </c>
      <c r="L1" s="3"/>
      <c r="M1" s="3"/>
      <c r="N1" s="3"/>
      <c r="O1" s="3"/>
      <c r="P1" s="3"/>
    </row>
    <row r="2" spans="1:16" s="2" customFormat="1" x14ac:dyDescent="0.3">
      <c r="A2" s="2" t="s">
        <v>49</v>
      </c>
      <c r="B2" t="s">
        <v>4</v>
      </c>
      <c r="C2" s="2">
        <v>20.75</v>
      </c>
      <c r="D2" s="1">
        <f>AVERAGE(C2:C4)</f>
        <v>20.663333333333334</v>
      </c>
      <c r="E2" s="2">
        <v>27.75</v>
      </c>
      <c r="F2" s="1">
        <f>E2-D2</f>
        <v>7.086666666666666</v>
      </c>
      <c r="G2" s="1">
        <f>AVERAGE(F2:F4)</f>
        <v>7.1966666666666654</v>
      </c>
      <c r="H2" s="1">
        <f>F2-G2</f>
        <v>-0.10999999999999943</v>
      </c>
      <c r="I2" s="5">
        <f>POWER(2,-H2)</f>
        <v>1.0792282365044268</v>
      </c>
      <c r="J2" s="6" t="s">
        <v>73</v>
      </c>
      <c r="N2" s="3"/>
      <c r="O2" s="3"/>
      <c r="P2" s="3"/>
    </row>
    <row r="3" spans="1:16" s="2" customFormat="1" x14ac:dyDescent="0.3">
      <c r="A3" s="2" t="s">
        <v>49</v>
      </c>
      <c r="B3" t="s">
        <v>4</v>
      </c>
      <c r="C3" s="2">
        <v>20.67</v>
      </c>
      <c r="D3" s="1">
        <f>AVERAGE(C2:C4)</f>
        <v>20.663333333333334</v>
      </c>
      <c r="E3" s="2">
        <v>27.75</v>
      </c>
      <c r="F3" s="1">
        <f t="shared" ref="F3:F7" si="0">E3-D3</f>
        <v>7.086666666666666</v>
      </c>
      <c r="G3" s="1">
        <f>G2</f>
        <v>7.1966666666666654</v>
      </c>
      <c r="H3" s="1">
        <f t="shared" ref="H3:H7" si="1">F3-G3</f>
        <v>-0.10999999999999943</v>
      </c>
      <c r="I3" s="5">
        <f t="shared" ref="I3:I7" si="2">POWER(2,-H3)</f>
        <v>1.0792282365044268</v>
      </c>
      <c r="J3" s="6"/>
      <c r="N3" s="3"/>
      <c r="O3" s="3"/>
      <c r="P3" s="3"/>
    </row>
    <row r="4" spans="1:16" s="2" customFormat="1" x14ac:dyDescent="0.3">
      <c r="A4" s="2" t="s">
        <v>48</v>
      </c>
      <c r="B4" t="s">
        <v>4</v>
      </c>
      <c r="C4" s="2">
        <v>20.57</v>
      </c>
      <c r="D4" s="1">
        <f>AVERAGE(C2:C4)</f>
        <v>20.663333333333334</v>
      </c>
      <c r="E4" s="2">
        <v>28.08</v>
      </c>
      <c r="F4" s="1">
        <f t="shared" si="0"/>
        <v>7.4166666666666643</v>
      </c>
      <c r="G4" s="1">
        <f t="shared" ref="G4:G10" si="3">G3</f>
        <v>7.1966666666666654</v>
      </c>
      <c r="H4" s="1">
        <f t="shared" si="1"/>
        <v>0.21999999999999886</v>
      </c>
      <c r="I4" s="5">
        <f t="shared" si="2"/>
        <v>0.8585654364377544</v>
      </c>
      <c r="J4" s="6"/>
      <c r="N4" s="3"/>
      <c r="O4" s="3"/>
      <c r="P4" s="3"/>
    </row>
    <row r="5" spans="1:16" s="2" customFormat="1" ht="15.5" x14ac:dyDescent="0.3">
      <c r="A5" s="4" t="s">
        <v>51</v>
      </c>
      <c r="B5" t="s">
        <v>4</v>
      </c>
      <c r="C5" s="2">
        <v>20.74</v>
      </c>
      <c r="D5" s="1">
        <f>AVERAGE(C5:C7)</f>
        <v>20.75</v>
      </c>
      <c r="E5" s="2">
        <v>26.39</v>
      </c>
      <c r="F5" s="1">
        <f t="shared" si="0"/>
        <v>5.6400000000000006</v>
      </c>
      <c r="G5" s="1">
        <f t="shared" si="3"/>
        <v>7.1966666666666654</v>
      </c>
      <c r="H5" s="1">
        <f t="shared" si="1"/>
        <v>-1.5566666666666649</v>
      </c>
      <c r="I5" s="5">
        <f t="shared" si="2"/>
        <v>2.9417337283718954</v>
      </c>
      <c r="J5" s="6"/>
      <c r="L5" s="3"/>
      <c r="M5" s="3"/>
      <c r="N5" s="3"/>
      <c r="O5" s="3"/>
      <c r="P5" s="3"/>
    </row>
    <row r="6" spans="1:16" s="2" customFormat="1" ht="15.5" x14ac:dyDescent="0.3">
      <c r="A6" s="4" t="s">
        <v>51</v>
      </c>
      <c r="B6" t="s">
        <v>4</v>
      </c>
      <c r="C6" s="2">
        <v>20.77</v>
      </c>
      <c r="D6" s="1">
        <f>AVERAGE(C5:C7)</f>
        <v>20.75</v>
      </c>
      <c r="E6" s="2">
        <v>26.51</v>
      </c>
      <c r="F6" s="1">
        <f t="shared" si="0"/>
        <v>5.7600000000000016</v>
      </c>
      <c r="G6" s="1">
        <f t="shared" si="3"/>
        <v>7.1966666666666654</v>
      </c>
      <c r="H6" s="1">
        <f t="shared" si="1"/>
        <v>-1.4366666666666639</v>
      </c>
      <c r="I6" s="5">
        <f t="shared" si="2"/>
        <v>2.7069470482744875</v>
      </c>
      <c r="J6" s="6"/>
      <c r="L6" s="3"/>
      <c r="M6" s="3"/>
      <c r="N6" s="3"/>
      <c r="O6" s="3"/>
      <c r="P6" s="3"/>
    </row>
    <row r="7" spans="1:16" s="2" customFormat="1" ht="15.5" x14ac:dyDescent="0.3">
      <c r="A7" s="4" t="s">
        <v>50</v>
      </c>
      <c r="B7" t="s">
        <v>4</v>
      </c>
      <c r="C7" s="2">
        <v>20.74</v>
      </c>
      <c r="D7" s="1">
        <f>AVERAGE(C5:C7)</f>
        <v>20.75</v>
      </c>
      <c r="E7" s="2">
        <v>26.29</v>
      </c>
      <c r="F7" s="1">
        <f t="shared" si="0"/>
        <v>5.5399999999999991</v>
      </c>
      <c r="G7" s="1">
        <f t="shared" si="3"/>
        <v>7.1966666666666654</v>
      </c>
      <c r="H7" s="1">
        <f t="shared" si="1"/>
        <v>-1.6566666666666663</v>
      </c>
      <c r="I7" s="5">
        <f t="shared" si="2"/>
        <v>3.1528721439169494</v>
      </c>
      <c r="J7" s="6"/>
      <c r="L7" s="3"/>
      <c r="M7" s="3"/>
      <c r="N7" s="3"/>
      <c r="O7" s="3"/>
    </row>
    <row r="8" spans="1:16" s="2" customFormat="1" x14ac:dyDescent="0.3">
      <c r="A8" s="2" t="s">
        <v>53</v>
      </c>
      <c r="B8" t="s">
        <v>4</v>
      </c>
      <c r="C8" s="2">
        <v>20.9</v>
      </c>
      <c r="D8" s="1">
        <f>AVERAGE(C8:C10)</f>
        <v>20.713333333333335</v>
      </c>
      <c r="E8" s="2">
        <v>26.29</v>
      </c>
      <c r="F8" s="1">
        <f>E8-D8</f>
        <v>5.5766666666666644</v>
      </c>
      <c r="G8" s="1">
        <f>G7</f>
        <v>7.1966666666666654</v>
      </c>
      <c r="H8" s="1">
        <f>F8-G8</f>
        <v>-1.620000000000001</v>
      </c>
      <c r="I8" s="5">
        <f>POWER(2,-H8)</f>
        <v>3.073750362576027</v>
      </c>
      <c r="J8" s="6"/>
      <c r="M8" s="3"/>
      <c r="N8" s="3"/>
      <c r="O8" s="3"/>
    </row>
    <row r="9" spans="1:16" s="2" customFormat="1" x14ac:dyDescent="0.3">
      <c r="A9" s="2" t="s">
        <v>53</v>
      </c>
      <c r="B9" t="s">
        <v>4</v>
      </c>
      <c r="C9" s="2">
        <v>20.74</v>
      </c>
      <c r="D9" s="1">
        <f>AVERAGE(C8:C10)</f>
        <v>20.713333333333335</v>
      </c>
      <c r="E9" s="2">
        <v>26.37</v>
      </c>
      <c r="F9" s="1">
        <f t="shared" ref="F9:F10" si="4">E9-D9</f>
        <v>5.6566666666666663</v>
      </c>
      <c r="G9" s="1">
        <f t="shared" si="3"/>
        <v>7.1966666666666654</v>
      </c>
      <c r="H9" s="1">
        <f t="shared" ref="H9:H10" si="5">F9-G9</f>
        <v>-1.5399999999999991</v>
      </c>
      <c r="I9" s="5">
        <f t="shared" ref="I9:I10" si="6">POWER(2,-H9)</f>
        <v>2.9079450346406195</v>
      </c>
      <c r="J9" s="6"/>
      <c r="M9" s="3"/>
      <c r="N9" s="3"/>
      <c r="O9" s="3"/>
    </row>
    <row r="10" spans="1:16" s="2" customFormat="1" x14ac:dyDescent="0.3">
      <c r="A10" s="2" t="s">
        <v>52</v>
      </c>
      <c r="B10" t="s">
        <v>4</v>
      </c>
      <c r="C10" s="2">
        <v>20.5</v>
      </c>
      <c r="D10" s="1">
        <f>AVERAGE(C8:C10)</f>
        <v>20.713333333333335</v>
      </c>
      <c r="E10" s="2">
        <v>26.91</v>
      </c>
      <c r="F10" s="1">
        <f t="shared" si="4"/>
        <v>6.1966666666666654</v>
      </c>
      <c r="G10" s="1">
        <f t="shared" si="3"/>
        <v>7.1966666666666654</v>
      </c>
      <c r="H10" s="1">
        <f t="shared" si="5"/>
        <v>-1</v>
      </c>
      <c r="I10" s="5">
        <f t="shared" si="6"/>
        <v>2</v>
      </c>
      <c r="J10" s="6"/>
      <c r="M10" s="3"/>
      <c r="N10" s="3"/>
      <c r="O10" s="3"/>
    </row>
    <row r="11" spans="1:16" s="2" customFormat="1" x14ac:dyDescent="0.3">
      <c r="A11" s="2" t="s">
        <v>49</v>
      </c>
      <c r="B11" t="s">
        <v>4</v>
      </c>
      <c r="C11" s="2">
        <v>20.75</v>
      </c>
      <c r="D11" s="1">
        <f>AVERAGE(C11:C13)</f>
        <v>20.663333333333334</v>
      </c>
      <c r="E11" s="2">
        <v>27.98</v>
      </c>
      <c r="F11" s="1">
        <f>E11-D11</f>
        <v>7.3166666666666664</v>
      </c>
      <c r="G11" s="1">
        <f>AVERAGE(F11:F13)</f>
        <v>7.37</v>
      </c>
      <c r="H11" s="1">
        <f>F11-G11</f>
        <v>-5.3333333333333677E-2</v>
      </c>
      <c r="I11" s="5">
        <f>POWER(2,-H11)</f>
        <v>1.0376596591597476</v>
      </c>
      <c r="J11" s="6" t="s">
        <v>75</v>
      </c>
      <c r="N11" s="3"/>
      <c r="O11" s="3"/>
      <c r="P11" s="3"/>
    </row>
    <row r="12" spans="1:16" s="2" customFormat="1" x14ac:dyDescent="0.3">
      <c r="A12" s="2" t="s">
        <v>49</v>
      </c>
      <c r="B12" t="s">
        <v>4</v>
      </c>
      <c r="C12" s="2">
        <v>20.67</v>
      </c>
      <c r="D12" s="1">
        <f>AVERAGE(C11:C13)</f>
        <v>20.663333333333334</v>
      </c>
      <c r="E12" s="2">
        <v>27.91</v>
      </c>
      <c r="F12" s="1">
        <f t="shared" ref="F12:F16" si="7">E12-D12</f>
        <v>7.2466666666666661</v>
      </c>
      <c r="G12" s="1">
        <f>G11</f>
        <v>7.37</v>
      </c>
      <c r="H12" s="1">
        <f t="shared" ref="H12:H16" si="8">F12-G12</f>
        <v>-0.12333333333333396</v>
      </c>
      <c r="I12" s="5">
        <f t="shared" ref="I12:I16" si="9">POWER(2,-H12)</f>
        <v>1.0892486561426129</v>
      </c>
      <c r="J12" s="6"/>
      <c r="N12" s="3"/>
      <c r="O12" s="3"/>
      <c r="P12" s="3"/>
    </row>
    <row r="13" spans="1:16" s="2" customFormat="1" x14ac:dyDescent="0.3">
      <c r="A13" s="2" t="s">
        <v>48</v>
      </c>
      <c r="B13" t="s">
        <v>4</v>
      </c>
      <c r="C13" s="2">
        <v>20.57</v>
      </c>
      <c r="D13" s="1">
        <f>AVERAGE(C11:C13)</f>
        <v>20.663333333333334</v>
      </c>
      <c r="E13" s="2">
        <v>28.21</v>
      </c>
      <c r="F13" s="1">
        <f t="shared" si="7"/>
        <v>7.5466666666666669</v>
      </c>
      <c r="G13" s="1">
        <f t="shared" ref="G13:G19" si="10">G12</f>
        <v>7.37</v>
      </c>
      <c r="H13" s="1">
        <f t="shared" si="8"/>
        <v>0.17666666666666675</v>
      </c>
      <c r="I13" s="5">
        <f t="shared" si="9"/>
        <v>0.88474483117964609</v>
      </c>
      <c r="J13" s="6"/>
      <c r="N13" s="3"/>
      <c r="O13" s="3"/>
      <c r="P13" s="3"/>
    </row>
    <row r="14" spans="1:16" s="2" customFormat="1" ht="15.5" x14ac:dyDescent="0.3">
      <c r="A14" s="4" t="s">
        <v>51</v>
      </c>
      <c r="B14" t="s">
        <v>4</v>
      </c>
      <c r="C14" s="2">
        <v>20.74</v>
      </c>
      <c r="D14" s="1">
        <f>AVERAGE(C14:C16)</f>
        <v>20.75</v>
      </c>
      <c r="E14" s="2">
        <v>27.49</v>
      </c>
      <c r="F14" s="1">
        <f t="shared" si="7"/>
        <v>6.7399999999999984</v>
      </c>
      <c r="G14" s="1">
        <f t="shared" si="10"/>
        <v>7.37</v>
      </c>
      <c r="H14" s="1">
        <f t="shared" si="8"/>
        <v>-0.63000000000000167</v>
      </c>
      <c r="I14" s="5">
        <f t="shared" si="9"/>
        <v>1.5475649935423916</v>
      </c>
      <c r="J14" s="6"/>
      <c r="L14" s="3"/>
      <c r="M14" s="3"/>
      <c r="N14" s="3"/>
      <c r="O14" s="3"/>
      <c r="P14" s="3"/>
    </row>
    <row r="15" spans="1:16" s="2" customFormat="1" ht="15.5" x14ac:dyDescent="0.3">
      <c r="A15" s="4" t="s">
        <v>51</v>
      </c>
      <c r="B15" t="s">
        <v>4</v>
      </c>
      <c r="C15" s="2">
        <v>20.77</v>
      </c>
      <c r="D15" s="1">
        <f>AVERAGE(C14:C16)</f>
        <v>20.75</v>
      </c>
      <c r="E15" s="2">
        <v>27.61</v>
      </c>
      <c r="F15" s="1">
        <f t="shared" si="7"/>
        <v>6.8599999999999994</v>
      </c>
      <c r="G15" s="1">
        <f t="shared" si="10"/>
        <v>7.37</v>
      </c>
      <c r="H15" s="1">
        <f t="shared" si="8"/>
        <v>-0.51000000000000068</v>
      </c>
      <c r="I15" s="5">
        <f t="shared" si="9"/>
        <v>1.4240501955970724</v>
      </c>
      <c r="J15" s="6"/>
      <c r="L15" s="3"/>
      <c r="M15" s="3"/>
      <c r="N15" s="3"/>
      <c r="O15" s="3"/>
      <c r="P15" s="3"/>
    </row>
    <row r="16" spans="1:16" s="2" customFormat="1" ht="15.5" x14ac:dyDescent="0.3">
      <c r="A16" s="4" t="s">
        <v>50</v>
      </c>
      <c r="B16" t="s">
        <v>4</v>
      </c>
      <c r="C16" s="2">
        <v>20.74</v>
      </c>
      <c r="D16" s="1">
        <f>AVERAGE(C14:C16)</f>
        <v>20.75</v>
      </c>
      <c r="E16" s="2">
        <v>27.59</v>
      </c>
      <c r="F16" s="1">
        <f t="shared" si="7"/>
        <v>6.84</v>
      </c>
      <c r="G16" s="1">
        <f t="shared" si="10"/>
        <v>7.37</v>
      </c>
      <c r="H16" s="1">
        <f t="shared" si="8"/>
        <v>-0.53000000000000025</v>
      </c>
      <c r="I16" s="5">
        <f t="shared" si="9"/>
        <v>1.4439291955224964</v>
      </c>
      <c r="J16" s="6"/>
      <c r="L16" s="3"/>
      <c r="M16" s="3"/>
      <c r="N16" s="3"/>
      <c r="O16" s="3"/>
    </row>
    <row r="17" spans="1:16" s="2" customFormat="1" x14ac:dyDescent="0.3">
      <c r="A17" s="2" t="s">
        <v>53</v>
      </c>
      <c r="B17" t="s">
        <v>4</v>
      </c>
      <c r="C17" s="2">
        <v>20.9</v>
      </c>
      <c r="D17" s="1">
        <f>AVERAGE(C17:C19)</f>
        <v>20.713333333333335</v>
      </c>
      <c r="E17" s="2">
        <v>27.66</v>
      </c>
      <c r="F17" s="1">
        <f>E17-D17</f>
        <v>6.9466666666666654</v>
      </c>
      <c r="G17" s="1">
        <f>G16</f>
        <v>7.37</v>
      </c>
      <c r="H17" s="1">
        <f>F17-G17</f>
        <v>-0.42333333333333467</v>
      </c>
      <c r="I17" s="5">
        <f>POWER(2,-H17)</f>
        <v>1.3410223977534361</v>
      </c>
      <c r="J17" s="6"/>
      <c r="M17" s="3"/>
      <c r="N17" s="3"/>
      <c r="O17" s="3"/>
    </row>
    <row r="18" spans="1:16" s="2" customFormat="1" x14ac:dyDescent="0.3">
      <c r="A18" s="2" t="s">
        <v>53</v>
      </c>
      <c r="B18" t="s">
        <v>4</v>
      </c>
      <c r="C18" s="2">
        <v>20.74</v>
      </c>
      <c r="D18" s="1">
        <f>AVERAGE(C17:C19)</f>
        <v>20.713333333333335</v>
      </c>
      <c r="E18" s="2">
        <v>27.68</v>
      </c>
      <c r="F18" s="1">
        <f t="shared" ref="F18:F19" si="11">E18-D18</f>
        <v>6.966666666666665</v>
      </c>
      <c r="G18" s="1">
        <f t="shared" si="10"/>
        <v>7.37</v>
      </c>
      <c r="H18" s="1">
        <f t="shared" ref="H18:H19" si="12">F18-G18</f>
        <v>-0.4033333333333351</v>
      </c>
      <c r="I18" s="5">
        <f t="shared" ref="I18:I19" si="13">POWER(2,-H18)</f>
        <v>1.3225601461225409</v>
      </c>
      <c r="J18" s="6"/>
      <c r="M18" s="3"/>
      <c r="N18" s="3"/>
      <c r="O18" s="3"/>
    </row>
    <row r="19" spans="1:16" s="2" customFormat="1" x14ac:dyDescent="0.3">
      <c r="A19" s="2" t="s">
        <v>52</v>
      </c>
      <c r="B19" t="s">
        <v>4</v>
      </c>
      <c r="C19" s="2">
        <v>20.5</v>
      </c>
      <c r="D19" s="1">
        <f>AVERAGE(C17:C19)</f>
        <v>20.713333333333335</v>
      </c>
      <c r="E19" s="2">
        <v>27.65</v>
      </c>
      <c r="F19" s="1">
        <f t="shared" si="11"/>
        <v>6.9366666666666639</v>
      </c>
      <c r="G19" s="1">
        <f t="shared" si="10"/>
        <v>7.37</v>
      </c>
      <c r="H19" s="1">
        <f t="shared" si="12"/>
        <v>-0.43333333333333623</v>
      </c>
      <c r="I19" s="5">
        <f t="shared" si="13"/>
        <v>1.3503499461681927</v>
      </c>
      <c r="J19" s="6"/>
      <c r="M19" s="3"/>
      <c r="N19" s="3"/>
      <c r="O19" s="3"/>
    </row>
    <row r="20" spans="1:16" s="2" customFormat="1" x14ac:dyDescent="0.3">
      <c r="A20" s="2" t="s">
        <v>49</v>
      </c>
      <c r="B20" t="s">
        <v>4</v>
      </c>
      <c r="C20" s="2">
        <v>20.75</v>
      </c>
      <c r="D20" s="1">
        <f>AVERAGE(C20:C22)</f>
        <v>20.663333333333334</v>
      </c>
      <c r="E20" s="2">
        <v>27.32</v>
      </c>
      <c r="F20" s="1">
        <f>E20-D20</f>
        <v>6.6566666666666663</v>
      </c>
      <c r="G20" s="1">
        <f>AVERAGE(F20:F22)</f>
        <v>6.5299999999999985</v>
      </c>
      <c r="H20" s="1">
        <f>F20-G20</f>
        <v>0.12666666666666782</v>
      </c>
      <c r="I20" s="5">
        <f>POWER(2,-H20)</f>
        <v>0.91594529027024796</v>
      </c>
      <c r="J20" s="6" t="s">
        <v>77</v>
      </c>
      <c r="N20" s="3"/>
      <c r="O20" s="3"/>
      <c r="P20" s="3"/>
    </row>
    <row r="21" spans="1:16" s="2" customFormat="1" x14ac:dyDescent="0.3">
      <c r="A21" s="2" t="s">
        <v>49</v>
      </c>
      <c r="B21" t="s">
        <v>4</v>
      </c>
      <c r="C21" s="2">
        <v>20.67</v>
      </c>
      <c r="D21" s="1">
        <f>AVERAGE(C20:C22)</f>
        <v>20.663333333333334</v>
      </c>
      <c r="E21" s="2">
        <v>26.95</v>
      </c>
      <c r="F21" s="1">
        <f t="shared" ref="F21:F25" si="14">E21-D21</f>
        <v>6.2866666666666653</v>
      </c>
      <c r="G21" s="1">
        <f>G20</f>
        <v>6.5299999999999985</v>
      </c>
      <c r="H21" s="1">
        <f t="shared" ref="H21:H25" si="15">F21-G21</f>
        <v>-0.24333333333333318</v>
      </c>
      <c r="I21" s="5">
        <f t="shared" ref="I21:I25" si="16">POWER(2,-H21)</f>
        <v>1.1837244885898353</v>
      </c>
      <c r="J21" s="6"/>
      <c r="N21" s="3"/>
      <c r="O21" s="3"/>
      <c r="P21" s="3"/>
    </row>
    <row r="22" spans="1:16" s="2" customFormat="1" x14ac:dyDescent="0.3">
      <c r="A22" s="2" t="s">
        <v>48</v>
      </c>
      <c r="B22" t="s">
        <v>4</v>
      </c>
      <c r="C22" s="2">
        <v>20.57</v>
      </c>
      <c r="D22" s="1">
        <f>AVERAGE(C20:C22)</f>
        <v>20.663333333333334</v>
      </c>
      <c r="E22" s="2">
        <v>27.31</v>
      </c>
      <c r="F22" s="1">
        <f t="shared" si="14"/>
        <v>6.6466666666666647</v>
      </c>
      <c r="G22" s="1">
        <f t="shared" ref="G22:G28" si="17">G21</f>
        <v>6.5299999999999985</v>
      </c>
      <c r="H22" s="1">
        <f t="shared" si="15"/>
        <v>0.11666666666666625</v>
      </c>
      <c r="I22" s="5">
        <f t="shared" si="16"/>
        <v>0.92231619358593953</v>
      </c>
      <c r="J22" s="6"/>
      <c r="N22" s="3"/>
      <c r="O22" s="3"/>
      <c r="P22" s="3"/>
    </row>
    <row r="23" spans="1:16" s="2" customFormat="1" ht="15.5" x14ac:dyDescent="0.3">
      <c r="A23" s="4" t="s">
        <v>51</v>
      </c>
      <c r="B23" t="s">
        <v>4</v>
      </c>
      <c r="C23" s="2">
        <v>20.74</v>
      </c>
      <c r="D23" s="1">
        <f>AVERAGE(C23:C25)</f>
        <v>20.75</v>
      </c>
      <c r="E23" s="2">
        <v>26.66</v>
      </c>
      <c r="F23" s="1">
        <f t="shared" si="14"/>
        <v>5.91</v>
      </c>
      <c r="G23" s="1">
        <f t="shared" si="17"/>
        <v>6.5299999999999985</v>
      </c>
      <c r="H23" s="1">
        <f t="shared" si="15"/>
        <v>-0.61999999999999833</v>
      </c>
      <c r="I23" s="5">
        <f t="shared" si="16"/>
        <v>1.5368751812880106</v>
      </c>
      <c r="J23" s="6"/>
      <c r="L23" s="3"/>
      <c r="M23" s="3"/>
      <c r="N23" s="3"/>
      <c r="O23" s="3"/>
      <c r="P23" s="3"/>
    </row>
    <row r="24" spans="1:16" s="2" customFormat="1" ht="15.5" x14ac:dyDescent="0.3">
      <c r="A24" s="4" t="s">
        <v>51</v>
      </c>
      <c r="B24" t="s">
        <v>4</v>
      </c>
      <c r="C24" s="2">
        <v>20.77</v>
      </c>
      <c r="D24" s="1">
        <f>AVERAGE(C23:C25)</f>
        <v>20.75</v>
      </c>
      <c r="E24" s="2">
        <v>26.59</v>
      </c>
      <c r="F24" s="1">
        <f t="shared" si="14"/>
        <v>5.84</v>
      </c>
      <c r="G24" s="1">
        <f t="shared" si="17"/>
        <v>6.5299999999999985</v>
      </c>
      <c r="H24" s="1">
        <f t="shared" si="15"/>
        <v>-0.68999999999999861</v>
      </c>
      <c r="I24" s="5">
        <f t="shared" si="16"/>
        <v>1.6132835184442511</v>
      </c>
      <c r="J24" s="6"/>
      <c r="L24" s="3"/>
      <c r="M24" s="3"/>
      <c r="N24" s="3"/>
      <c r="O24" s="3"/>
      <c r="P24" s="3"/>
    </row>
    <row r="25" spans="1:16" s="2" customFormat="1" ht="15.5" x14ac:dyDescent="0.3">
      <c r="A25" s="4" t="s">
        <v>50</v>
      </c>
      <c r="B25" t="s">
        <v>4</v>
      </c>
      <c r="C25" s="2">
        <v>20.74</v>
      </c>
      <c r="D25" s="1">
        <f>AVERAGE(C23:C25)</f>
        <v>20.75</v>
      </c>
      <c r="E25" s="2">
        <v>26.63</v>
      </c>
      <c r="F25" s="1">
        <f t="shared" si="14"/>
        <v>5.879999999999999</v>
      </c>
      <c r="G25" s="1">
        <f t="shared" si="17"/>
        <v>6.5299999999999985</v>
      </c>
      <c r="H25" s="1">
        <f t="shared" si="15"/>
        <v>-0.64999999999999947</v>
      </c>
      <c r="I25" s="5">
        <f t="shared" si="16"/>
        <v>1.5691681957935009</v>
      </c>
      <c r="J25" s="6"/>
      <c r="L25" s="3"/>
      <c r="M25" s="3"/>
      <c r="N25" s="3"/>
      <c r="O25" s="3"/>
    </row>
    <row r="26" spans="1:16" s="2" customFormat="1" x14ac:dyDescent="0.3">
      <c r="A26" s="2" t="s">
        <v>53</v>
      </c>
      <c r="B26" t="s">
        <v>4</v>
      </c>
      <c r="C26" s="2">
        <v>20.9</v>
      </c>
      <c r="D26" s="1">
        <f>AVERAGE(C26:C28)</f>
        <v>20.713333333333335</v>
      </c>
      <c r="E26" s="2">
        <v>26.57</v>
      </c>
      <c r="F26" s="1">
        <f>E26-D26</f>
        <v>5.8566666666666656</v>
      </c>
      <c r="G26" s="1">
        <f>G25</f>
        <v>6.5299999999999985</v>
      </c>
      <c r="H26" s="1">
        <f>F26-G26</f>
        <v>-0.6733333333333329</v>
      </c>
      <c r="I26" s="5">
        <f>POWER(2,-H26)</f>
        <v>1.5947533767863933</v>
      </c>
      <c r="J26" s="6"/>
      <c r="M26" s="3"/>
      <c r="N26" s="3"/>
      <c r="O26" s="3"/>
    </row>
    <row r="27" spans="1:16" s="2" customFormat="1" x14ac:dyDescent="0.3">
      <c r="A27" s="2" t="s">
        <v>53</v>
      </c>
      <c r="B27" t="s">
        <v>4</v>
      </c>
      <c r="C27" s="2">
        <v>20.74</v>
      </c>
      <c r="D27" s="1">
        <f>AVERAGE(C26:C28)</f>
        <v>20.713333333333335</v>
      </c>
      <c r="E27" s="2">
        <v>26.56</v>
      </c>
      <c r="F27" s="1">
        <f t="shared" ref="F27:F28" si="18">E27-D27</f>
        <v>5.846666666666664</v>
      </c>
      <c r="G27" s="1">
        <f t="shared" si="17"/>
        <v>6.5299999999999985</v>
      </c>
      <c r="H27" s="1">
        <f t="shared" ref="H27:H28" si="19">F27-G27</f>
        <v>-0.68333333333333446</v>
      </c>
      <c r="I27" s="5">
        <f t="shared" ref="I27:I28" si="20">POWER(2,-H27)</f>
        <v>1.6058457637267542</v>
      </c>
      <c r="J27" s="6"/>
      <c r="M27" s="3"/>
      <c r="N27" s="3"/>
      <c r="O27" s="3"/>
    </row>
    <row r="28" spans="1:16" s="2" customFormat="1" x14ac:dyDescent="0.3">
      <c r="A28" s="2" t="s">
        <v>52</v>
      </c>
      <c r="B28" t="s">
        <v>4</v>
      </c>
      <c r="C28" s="2">
        <v>20.5</v>
      </c>
      <c r="D28" s="1">
        <f>AVERAGE(C26:C28)</f>
        <v>20.713333333333335</v>
      </c>
      <c r="E28" s="2">
        <v>26.67</v>
      </c>
      <c r="F28" s="1">
        <f t="shared" si="18"/>
        <v>5.956666666666667</v>
      </c>
      <c r="G28" s="1">
        <f t="shared" si="17"/>
        <v>6.5299999999999985</v>
      </c>
      <c r="H28" s="1">
        <f t="shared" si="19"/>
        <v>-0.57333333333333147</v>
      </c>
      <c r="I28" s="5">
        <f t="shared" si="20"/>
        <v>1.4879575139064325</v>
      </c>
      <c r="J28" s="6"/>
      <c r="M28" s="3"/>
      <c r="N28" s="3"/>
      <c r="O28" s="3"/>
    </row>
    <row r="29" spans="1:16" x14ac:dyDescent="0.3">
      <c r="A29" s="2" t="s">
        <v>49</v>
      </c>
      <c r="B29" t="s">
        <v>4</v>
      </c>
      <c r="C29" s="2">
        <v>20.75</v>
      </c>
      <c r="D29" s="1">
        <f>AVERAGE(C29:C31)</f>
        <v>20.663333333333334</v>
      </c>
      <c r="E29" s="2">
        <v>22.69</v>
      </c>
      <c r="F29" s="1">
        <f>E29-D29</f>
        <v>2.0266666666666673</v>
      </c>
      <c r="G29" s="1">
        <f>AVERAGE(F29:F31)</f>
        <v>2.0299999999999998</v>
      </c>
      <c r="H29" s="1">
        <f>F29-G29</f>
        <v>-3.3333333333325221E-3</v>
      </c>
      <c r="I29" s="5">
        <f>POWER(2,-H29)</f>
        <v>1.0023131618421723</v>
      </c>
      <c r="J29" s="6" t="s">
        <v>78</v>
      </c>
    </row>
    <row r="30" spans="1:16" x14ac:dyDescent="0.3">
      <c r="A30" s="2" t="s">
        <v>49</v>
      </c>
      <c r="B30" t="s">
        <v>4</v>
      </c>
      <c r="C30" s="2">
        <v>20.67</v>
      </c>
      <c r="D30" s="1">
        <f>AVERAGE(C29:C31)</f>
        <v>20.663333333333334</v>
      </c>
      <c r="E30" s="2">
        <v>22.69</v>
      </c>
      <c r="F30" s="1">
        <f t="shared" ref="F30:F34" si="21">E30-D30</f>
        <v>2.0266666666666673</v>
      </c>
      <c r="G30" s="1">
        <f>G29</f>
        <v>2.0299999999999998</v>
      </c>
      <c r="H30" s="1">
        <f t="shared" ref="H30:H34" si="22">F30-G30</f>
        <v>-3.3333333333325221E-3</v>
      </c>
      <c r="I30" s="5">
        <f t="shared" ref="I30:I34" si="23">POWER(2,-H30)</f>
        <v>1.0023131618421723</v>
      </c>
      <c r="J30" s="6"/>
    </row>
    <row r="31" spans="1:16" x14ac:dyDescent="0.3">
      <c r="A31" s="2" t="s">
        <v>48</v>
      </c>
      <c r="B31" t="s">
        <v>4</v>
      </c>
      <c r="C31" s="2">
        <v>20.57</v>
      </c>
      <c r="D31" s="1">
        <f>AVERAGE(C29:C31)</f>
        <v>20.663333333333334</v>
      </c>
      <c r="E31" s="2">
        <v>22.7</v>
      </c>
      <c r="F31" s="1">
        <f t="shared" si="21"/>
        <v>2.0366666666666653</v>
      </c>
      <c r="G31" s="1">
        <f t="shared" ref="G31:G37" si="24">G30</f>
        <v>2.0299999999999998</v>
      </c>
      <c r="H31" s="1">
        <f t="shared" si="22"/>
        <v>6.6666666666654883E-3</v>
      </c>
      <c r="I31" s="5">
        <f t="shared" si="23"/>
        <v>0.99538967910322995</v>
      </c>
      <c r="J31" s="6"/>
    </row>
    <row r="32" spans="1:16" ht="15.5" x14ac:dyDescent="0.3">
      <c r="A32" s="4" t="s">
        <v>51</v>
      </c>
      <c r="B32" t="s">
        <v>4</v>
      </c>
      <c r="C32" s="2">
        <v>20.74</v>
      </c>
      <c r="D32" s="1">
        <f>AVERAGE(C32:C34)</f>
        <v>20.75</v>
      </c>
      <c r="E32" s="2">
        <v>21.97</v>
      </c>
      <c r="F32" s="1">
        <f t="shared" si="21"/>
        <v>1.2199999999999989</v>
      </c>
      <c r="G32" s="1">
        <f t="shared" si="24"/>
        <v>2.0299999999999998</v>
      </c>
      <c r="H32" s="1">
        <f t="shared" si="22"/>
        <v>-0.81000000000000094</v>
      </c>
      <c r="I32" s="5">
        <f t="shared" si="23"/>
        <v>1.7532114426320713</v>
      </c>
      <c r="J32" s="6"/>
    </row>
    <row r="33" spans="1:10" ht="15.5" x14ac:dyDescent="0.3">
      <c r="A33" s="4" t="s">
        <v>51</v>
      </c>
      <c r="B33" t="s">
        <v>4</v>
      </c>
      <c r="C33" s="2">
        <v>20.77</v>
      </c>
      <c r="D33" s="1">
        <f>AVERAGE(C32:C34)</f>
        <v>20.75</v>
      </c>
      <c r="E33" s="2">
        <v>21.84</v>
      </c>
      <c r="F33" s="1">
        <f t="shared" si="21"/>
        <v>1.0899999999999999</v>
      </c>
      <c r="G33" s="1">
        <f t="shared" si="24"/>
        <v>2.0299999999999998</v>
      </c>
      <c r="H33" s="1">
        <f t="shared" si="22"/>
        <v>-0.94</v>
      </c>
      <c r="I33" s="5">
        <f t="shared" si="23"/>
        <v>1.9185282386505287</v>
      </c>
      <c r="J33" s="6"/>
    </row>
    <row r="34" spans="1:10" ht="15.5" x14ac:dyDescent="0.3">
      <c r="A34" s="4" t="s">
        <v>50</v>
      </c>
      <c r="B34" t="s">
        <v>4</v>
      </c>
      <c r="C34" s="2">
        <v>20.74</v>
      </c>
      <c r="D34" s="1">
        <f>AVERAGE(C32:C34)</f>
        <v>20.75</v>
      </c>
      <c r="E34" s="2">
        <v>21.9</v>
      </c>
      <c r="F34" s="1">
        <f t="shared" si="21"/>
        <v>1.1499999999999986</v>
      </c>
      <c r="G34" s="1">
        <f t="shared" si="24"/>
        <v>2.0299999999999998</v>
      </c>
      <c r="H34" s="1">
        <f t="shared" si="22"/>
        <v>-0.88000000000000123</v>
      </c>
      <c r="I34" s="5">
        <f t="shared" si="23"/>
        <v>1.8403753012497517</v>
      </c>
      <c r="J34" s="6"/>
    </row>
    <row r="35" spans="1:10" x14ac:dyDescent="0.3">
      <c r="A35" s="2" t="s">
        <v>53</v>
      </c>
      <c r="B35" t="s">
        <v>4</v>
      </c>
      <c r="C35" s="2">
        <v>20.9</v>
      </c>
      <c r="D35" s="1">
        <f>AVERAGE(C35:C37)</f>
        <v>20.713333333333335</v>
      </c>
      <c r="E35" s="2">
        <v>20.83</v>
      </c>
      <c r="F35" s="1">
        <f>E35-D35</f>
        <v>0.11666666666666359</v>
      </c>
      <c r="G35" s="1">
        <f>G34</f>
        <v>2.0299999999999998</v>
      </c>
      <c r="H35" s="1">
        <f>F35-G35</f>
        <v>-1.9133333333333362</v>
      </c>
      <c r="I35" s="5">
        <f>POWER(2,-H35)</f>
        <v>3.7667840695493955</v>
      </c>
      <c r="J35" s="6"/>
    </row>
    <row r="36" spans="1:10" x14ac:dyDescent="0.3">
      <c r="A36" s="2" t="s">
        <v>53</v>
      </c>
      <c r="B36" t="s">
        <v>4</v>
      </c>
      <c r="C36" s="2">
        <v>20.74</v>
      </c>
      <c r="D36" s="1">
        <f>AVERAGE(C35:C37)</f>
        <v>20.713333333333335</v>
      </c>
      <c r="E36" s="2">
        <v>20.83</v>
      </c>
      <c r="F36" s="1">
        <f t="shared" ref="F36:F37" si="25">E36-D36</f>
        <v>0.11666666666666359</v>
      </c>
      <c r="G36" s="1">
        <f t="shared" si="24"/>
        <v>2.0299999999999998</v>
      </c>
      <c r="H36" s="1">
        <f t="shared" ref="H36:H37" si="26">F36-G36</f>
        <v>-1.9133333333333362</v>
      </c>
      <c r="I36" s="5">
        <f t="shared" ref="I36:I37" si="27">POWER(2,-H36)</f>
        <v>3.7667840695493955</v>
      </c>
      <c r="J36" s="6"/>
    </row>
    <row r="37" spans="1:10" x14ac:dyDescent="0.3">
      <c r="A37" s="2" t="s">
        <v>52</v>
      </c>
      <c r="B37" t="s">
        <v>4</v>
      </c>
      <c r="C37" s="2">
        <v>20.5</v>
      </c>
      <c r="D37" s="1">
        <f>AVERAGE(C35:C37)</f>
        <v>20.713333333333335</v>
      </c>
      <c r="E37" s="2">
        <v>20.77</v>
      </c>
      <c r="F37" s="1">
        <f t="shared" si="25"/>
        <v>5.6666666666664867E-2</v>
      </c>
      <c r="G37" s="1">
        <f t="shared" si="24"/>
        <v>2.0299999999999998</v>
      </c>
      <c r="H37" s="1">
        <f t="shared" si="26"/>
        <v>-1.9733333333333349</v>
      </c>
      <c r="I37" s="5">
        <f t="shared" si="27"/>
        <v>3.9267434209870227</v>
      </c>
      <c r="J37" s="6"/>
    </row>
    <row r="38" spans="1:10" x14ac:dyDescent="0.3">
      <c r="A38" s="2" t="s">
        <v>49</v>
      </c>
      <c r="B38" t="s">
        <v>4</v>
      </c>
      <c r="C38" s="2">
        <v>20.75</v>
      </c>
      <c r="D38" s="1">
        <f>AVERAGE(C38:C40)</f>
        <v>20.663333333333334</v>
      </c>
      <c r="E38" s="2">
        <v>23.69</v>
      </c>
      <c r="F38" s="1">
        <f>E38-D38</f>
        <v>3.0266666666666673</v>
      </c>
      <c r="G38" s="1">
        <f>AVERAGE(F38:F40)</f>
        <v>3.1766666666666672</v>
      </c>
      <c r="H38" s="1">
        <f>F38-G38</f>
        <v>-0.14999999999999991</v>
      </c>
      <c r="I38" s="5">
        <f>POWER(2,-H38)</f>
        <v>1.1095694720678448</v>
      </c>
      <c r="J38" s="6" t="s">
        <v>81</v>
      </c>
    </row>
    <row r="39" spans="1:10" x14ac:dyDescent="0.3">
      <c r="A39" s="2" t="s">
        <v>49</v>
      </c>
      <c r="B39" t="s">
        <v>4</v>
      </c>
      <c r="C39" s="2">
        <v>20.67</v>
      </c>
      <c r="D39" s="1">
        <f>AVERAGE(C38:C40)</f>
        <v>20.663333333333334</v>
      </c>
      <c r="E39" s="2">
        <v>24.01</v>
      </c>
      <c r="F39" s="1">
        <f t="shared" ref="F39:F43" si="28">E39-D39</f>
        <v>3.3466666666666676</v>
      </c>
      <c r="G39" s="1">
        <f>G38</f>
        <v>3.1766666666666672</v>
      </c>
      <c r="H39" s="1">
        <f t="shared" ref="H39:H43" si="29">F39-G39</f>
        <v>0.17000000000000037</v>
      </c>
      <c r="I39" s="5">
        <f t="shared" ref="I39:I43" si="30">POWER(2,-H39)</f>
        <v>0.88884268116656995</v>
      </c>
      <c r="J39" s="6"/>
    </row>
    <row r="40" spans="1:10" x14ac:dyDescent="0.3">
      <c r="A40" s="2" t="s">
        <v>48</v>
      </c>
      <c r="B40" t="s">
        <v>4</v>
      </c>
      <c r="C40" s="2">
        <v>20.57</v>
      </c>
      <c r="D40" s="1">
        <f>AVERAGE(C38:C40)</f>
        <v>20.663333333333334</v>
      </c>
      <c r="E40" s="2">
        <v>23.82</v>
      </c>
      <c r="F40" s="1">
        <f t="shared" si="28"/>
        <v>3.1566666666666663</v>
      </c>
      <c r="G40" s="1">
        <f t="shared" ref="G40:G46" si="31">G39</f>
        <v>3.1766666666666672</v>
      </c>
      <c r="H40" s="1">
        <f t="shared" si="29"/>
        <v>-2.0000000000000906E-2</v>
      </c>
      <c r="I40" s="5">
        <f t="shared" si="30"/>
        <v>1.0139594797900298</v>
      </c>
      <c r="J40" s="6"/>
    </row>
    <row r="41" spans="1:10" ht="15.5" x14ac:dyDescent="0.3">
      <c r="A41" s="4" t="s">
        <v>51</v>
      </c>
      <c r="B41" t="s">
        <v>4</v>
      </c>
      <c r="C41" s="2">
        <v>20.74</v>
      </c>
      <c r="D41" s="1">
        <f>AVERAGE(C41:C43)</f>
        <v>20.75</v>
      </c>
      <c r="E41" s="2">
        <v>25.18</v>
      </c>
      <c r="F41" s="1">
        <f t="shared" si="28"/>
        <v>4.43</v>
      </c>
      <c r="G41" s="1">
        <f t="shared" si="31"/>
        <v>3.1766666666666672</v>
      </c>
      <c r="H41" s="1">
        <f t="shared" si="29"/>
        <v>1.2533333333333325</v>
      </c>
      <c r="I41" s="5">
        <f t="shared" si="30"/>
        <v>0.41947788738412528</v>
      </c>
      <c r="J41" s="6"/>
    </row>
    <row r="42" spans="1:10" ht="15.5" x14ac:dyDescent="0.3">
      <c r="A42" s="4" t="s">
        <v>51</v>
      </c>
      <c r="B42" t="s">
        <v>4</v>
      </c>
      <c r="C42" s="2">
        <v>20.77</v>
      </c>
      <c r="D42" s="1">
        <f>AVERAGE(C41:C43)</f>
        <v>20.75</v>
      </c>
      <c r="E42" s="2">
        <v>25.11</v>
      </c>
      <c r="F42" s="1">
        <f t="shared" si="28"/>
        <v>4.3599999999999994</v>
      </c>
      <c r="G42" s="1">
        <f t="shared" si="31"/>
        <v>3.1766666666666672</v>
      </c>
      <c r="H42" s="1">
        <f t="shared" si="29"/>
        <v>1.1833333333333322</v>
      </c>
      <c r="I42" s="5">
        <f t="shared" si="30"/>
        <v>0.44033293679807456</v>
      </c>
      <c r="J42" s="6"/>
    </row>
    <row r="43" spans="1:10" ht="15.5" x14ac:dyDescent="0.3">
      <c r="A43" s="4" t="s">
        <v>50</v>
      </c>
      <c r="B43" t="s">
        <v>4</v>
      </c>
      <c r="C43" s="2">
        <v>20.74</v>
      </c>
      <c r="D43" s="1">
        <f>AVERAGE(C41:C43)</f>
        <v>20.75</v>
      </c>
      <c r="E43" s="2">
        <v>25.31</v>
      </c>
      <c r="F43" s="1">
        <f t="shared" si="28"/>
        <v>4.5599999999999987</v>
      </c>
      <c r="G43" s="1">
        <f t="shared" si="31"/>
        <v>3.1766666666666672</v>
      </c>
      <c r="H43" s="1">
        <f t="shared" si="29"/>
        <v>1.3833333333333315</v>
      </c>
      <c r="I43" s="5">
        <f t="shared" si="30"/>
        <v>0.38333208616740061</v>
      </c>
      <c r="J43" s="6"/>
    </row>
    <row r="44" spans="1:10" x14ac:dyDescent="0.3">
      <c r="A44" s="2" t="s">
        <v>53</v>
      </c>
      <c r="B44" t="s">
        <v>4</v>
      </c>
      <c r="C44" s="2">
        <v>20.9</v>
      </c>
      <c r="D44" s="1">
        <f>AVERAGE(C44:C46)</f>
        <v>20.713333333333335</v>
      </c>
      <c r="E44" s="2">
        <v>25.31</v>
      </c>
      <c r="F44" s="1">
        <f>E44-D44</f>
        <v>4.596666666666664</v>
      </c>
      <c r="G44" s="1">
        <f>G43</f>
        <v>3.1766666666666672</v>
      </c>
      <c r="H44" s="1">
        <f>F44-G44</f>
        <v>1.4199999999999968</v>
      </c>
      <c r="I44" s="5">
        <f>POWER(2,-H44)</f>
        <v>0.3737123121587354</v>
      </c>
      <c r="J44" s="6"/>
    </row>
    <row r="45" spans="1:10" x14ac:dyDescent="0.3">
      <c r="A45" s="2" t="s">
        <v>53</v>
      </c>
      <c r="B45" t="s">
        <v>4</v>
      </c>
      <c r="C45" s="2">
        <v>20.74</v>
      </c>
      <c r="D45" s="1">
        <f>AVERAGE(C44:C46)</f>
        <v>20.713333333333335</v>
      </c>
      <c r="E45" s="2">
        <v>25.39</v>
      </c>
      <c r="F45" s="1">
        <f t="shared" ref="F45:F46" si="32">E45-D45</f>
        <v>4.6766666666666659</v>
      </c>
      <c r="G45" s="1">
        <f t="shared" si="31"/>
        <v>3.1766666666666672</v>
      </c>
      <c r="H45" s="1">
        <f t="shared" ref="H45:H46" si="33">F45-G45</f>
        <v>1.4999999999999987</v>
      </c>
      <c r="I45" s="5">
        <f t="shared" ref="I45:I46" si="34">POWER(2,-H45)</f>
        <v>0.35355339059327412</v>
      </c>
      <c r="J45" s="6"/>
    </row>
    <row r="46" spans="1:10" x14ac:dyDescent="0.3">
      <c r="A46" s="2" t="s">
        <v>52</v>
      </c>
      <c r="B46" t="s">
        <v>4</v>
      </c>
      <c r="C46" s="2">
        <v>20.5</v>
      </c>
      <c r="D46" s="1">
        <f>AVERAGE(C44:C46)</f>
        <v>20.713333333333335</v>
      </c>
      <c r="E46" s="2">
        <v>25.39</v>
      </c>
      <c r="F46" s="1">
        <f t="shared" si="32"/>
        <v>4.6766666666666659</v>
      </c>
      <c r="G46" s="1">
        <f t="shared" si="31"/>
        <v>3.1766666666666672</v>
      </c>
      <c r="H46" s="1">
        <f t="shared" si="33"/>
        <v>1.4999999999999987</v>
      </c>
      <c r="I46" s="5">
        <f t="shared" si="34"/>
        <v>0.35355339059327412</v>
      </c>
      <c r="J46" s="6"/>
    </row>
    <row r="47" spans="1:10" x14ac:dyDescent="0.3">
      <c r="A47" s="2" t="s">
        <v>49</v>
      </c>
      <c r="B47" t="s">
        <v>4</v>
      </c>
      <c r="C47" s="2">
        <v>20.75</v>
      </c>
      <c r="D47" s="1">
        <f>AVERAGE(C47:C49)</f>
        <v>20.663333333333334</v>
      </c>
      <c r="E47" s="2">
        <v>28.31</v>
      </c>
      <c r="F47" s="1">
        <f>E47-D47</f>
        <v>7.6466666666666647</v>
      </c>
      <c r="G47" s="1">
        <f>AVERAGE(F47:F49)</f>
        <v>7.6566666666666663</v>
      </c>
      <c r="H47" s="1">
        <f>F47-G47</f>
        <v>-1.0000000000001563E-2</v>
      </c>
      <c r="I47" s="5">
        <f>POWER(2,-H47)</f>
        <v>1.00695555005672</v>
      </c>
      <c r="J47" s="6" t="s">
        <v>80</v>
      </c>
    </row>
    <row r="48" spans="1:10" x14ac:dyDescent="0.3">
      <c r="A48" s="2" t="s">
        <v>49</v>
      </c>
      <c r="B48" t="s">
        <v>4</v>
      </c>
      <c r="C48" s="2">
        <v>20.67</v>
      </c>
      <c r="D48" s="1">
        <f>AVERAGE(C47:C49)</f>
        <v>20.663333333333334</v>
      </c>
      <c r="E48" s="2">
        <v>28.3</v>
      </c>
      <c r="F48" s="1">
        <f t="shared" ref="F48:F52" si="35">E48-D48</f>
        <v>7.6366666666666667</v>
      </c>
      <c r="G48" s="1">
        <f>G47</f>
        <v>7.6566666666666663</v>
      </c>
      <c r="H48" s="1">
        <f t="shared" ref="H48:H52" si="36">F48-G48</f>
        <v>-1.9999999999999574E-2</v>
      </c>
      <c r="I48" s="5">
        <f t="shared" ref="I48:I52" si="37">POWER(2,-H48)</f>
        <v>1.0139594797900289</v>
      </c>
      <c r="J48" s="6"/>
    </row>
    <row r="49" spans="1:10" x14ac:dyDescent="0.3">
      <c r="A49" s="2" t="s">
        <v>48</v>
      </c>
      <c r="B49" t="s">
        <v>4</v>
      </c>
      <c r="C49" s="2">
        <v>20.57</v>
      </c>
      <c r="D49" s="1">
        <f>AVERAGE(C47:C49)</f>
        <v>20.663333333333334</v>
      </c>
      <c r="E49" s="2">
        <v>28.35</v>
      </c>
      <c r="F49" s="1">
        <f t="shared" si="35"/>
        <v>7.6866666666666674</v>
      </c>
      <c r="G49" s="1">
        <f t="shared" ref="G49:G55" si="38">G48</f>
        <v>7.6566666666666663</v>
      </c>
      <c r="H49" s="1">
        <f t="shared" si="36"/>
        <v>3.0000000000001137E-2</v>
      </c>
      <c r="I49" s="5">
        <f t="shared" si="37"/>
        <v>0.97942029758692617</v>
      </c>
      <c r="J49" s="6"/>
    </row>
    <row r="50" spans="1:10" ht="15.5" x14ac:dyDescent="0.3">
      <c r="A50" s="4" t="s">
        <v>51</v>
      </c>
      <c r="B50" t="s">
        <v>4</v>
      </c>
      <c r="C50" s="2">
        <v>20.74</v>
      </c>
      <c r="D50" s="1">
        <f>AVERAGE(C50:C52)</f>
        <v>20.75</v>
      </c>
      <c r="E50" s="2">
        <v>27.76</v>
      </c>
      <c r="F50" s="1">
        <f t="shared" si="35"/>
        <v>7.0100000000000016</v>
      </c>
      <c r="G50" s="1">
        <f t="shared" si="38"/>
        <v>7.6566666666666663</v>
      </c>
      <c r="H50" s="1">
        <f t="shared" si="36"/>
        <v>-0.64666666666666472</v>
      </c>
      <c r="I50" s="5">
        <f t="shared" si="37"/>
        <v>1.5655468325981987</v>
      </c>
      <c r="J50" s="6"/>
    </row>
    <row r="51" spans="1:10" ht="15.5" x14ac:dyDescent="0.3">
      <c r="A51" s="4" t="s">
        <v>51</v>
      </c>
      <c r="B51" t="s">
        <v>4</v>
      </c>
      <c r="C51" s="2">
        <v>20.77</v>
      </c>
      <c r="D51" s="1">
        <f>AVERAGE(C50:C52)</f>
        <v>20.75</v>
      </c>
      <c r="E51" s="2">
        <v>27.96</v>
      </c>
      <c r="F51" s="1">
        <f t="shared" si="35"/>
        <v>7.2100000000000009</v>
      </c>
      <c r="G51" s="1">
        <f t="shared" si="38"/>
        <v>7.6566666666666663</v>
      </c>
      <c r="H51" s="1">
        <f t="shared" si="36"/>
        <v>-0.44666666666666544</v>
      </c>
      <c r="I51" s="5">
        <f t="shared" si="37"/>
        <v>1.3628876769848255</v>
      </c>
      <c r="J51" s="6"/>
    </row>
    <row r="52" spans="1:10" ht="15.5" x14ac:dyDescent="0.3">
      <c r="A52" s="4" t="s">
        <v>50</v>
      </c>
      <c r="B52" t="s">
        <v>4</v>
      </c>
      <c r="C52" s="2">
        <v>20.74</v>
      </c>
      <c r="D52" s="1">
        <f>AVERAGE(C50:C52)</f>
        <v>20.75</v>
      </c>
      <c r="E52" s="2">
        <v>27.62</v>
      </c>
      <c r="F52" s="1">
        <f t="shared" si="35"/>
        <v>6.870000000000001</v>
      </c>
      <c r="G52" s="1">
        <f t="shared" si="38"/>
        <v>7.6566666666666663</v>
      </c>
      <c r="H52" s="1">
        <f t="shared" si="36"/>
        <v>-0.78666666666666529</v>
      </c>
      <c r="I52" s="5">
        <f t="shared" si="37"/>
        <v>1.7250840639843796</v>
      </c>
      <c r="J52" s="6"/>
    </row>
    <row r="53" spans="1:10" x14ac:dyDescent="0.3">
      <c r="A53" s="2" t="s">
        <v>53</v>
      </c>
      <c r="B53" t="s">
        <v>4</v>
      </c>
      <c r="C53" s="2">
        <v>20.9</v>
      </c>
      <c r="D53" s="1">
        <f>AVERAGE(C53:C55)</f>
        <v>20.713333333333335</v>
      </c>
      <c r="E53" s="2">
        <v>27.79</v>
      </c>
      <c r="F53" s="1">
        <f>E53-D53</f>
        <v>7.0766666666666644</v>
      </c>
      <c r="G53" s="1">
        <f>G52</f>
        <v>7.6566666666666663</v>
      </c>
      <c r="H53" s="1">
        <f>F53-G53</f>
        <v>-0.58000000000000185</v>
      </c>
      <c r="I53" s="5">
        <f>POWER(2,-H53)</f>
        <v>1.4948492486349403</v>
      </c>
      <c r="J53" s="6"/>
    </row>
    <row r="54" spans="1:10" x14ac:dyDescent="0.3">
      <c r="A54" s="2" t="s">
        <v>53</v>
      </c>
      <c r="B54" t="s">
        <v>4</v>
      </c>
      <c r="C54" s="2">
        <v>20.74</v>
      </c>
      <c r="D54" s="1">
        <f>AVERAGE(C53:C55)</f>
        <v>20.713333333333335</v>
      </c>
      <c r="E54" s="2">
        <v>27.77</v>
      </c>
      <c r="F54" s="1">
        <f t="shared" ref="F54:F55" si="39">E54-D54</f>
        <v>7.0566666666666649</v>
      </c>
      <c r="G54" s="1">
        <f t="shared" si="38"/>
        <v>7.6566666666666663</v>
      </c>
      <c r="H54" s="1">
        <f t="shared" ref="H54:H55" si="40">F54-G54</f>
        <v>-0.60000000000000142</v>
      </c>
      <c r="I54" s="5">
        <f t="shared" ref="I54:I55" si="41">POWER(2,-H54)</f>
        <v>1.5157165665103995</v>
      </c>
      <c r="J54" s="6"/>
    </row>
    <row r="55" spans="1:10" x14ac:dyDescent="0.3">
      <c r="A55" s="2" t="s">
        <v>52</v>
      </c>
      <c r="B55" t="s">
        <v>4</v>
      </c>
      <c r="C55" s="2">
        <v>20.5</v>
      </c>
      <c r="D55" s="1">
        <f>AVERAGE(C53:C55)</f>
        <v>20.713333333333335</v>
      </c>
      <c r="E55" s="2">
        <v>27.73</v>
      </c>
      <c r="F55" s="1">
        <f t="shared" si="39"/>
        <v>7.0166666666666657</v>
      </c>
      <c r="G55" s="1">
        <f t="shared" si="38"/>
        <v>7.6566666666666663</v>
      </c>
      <c r="H55" s="1">
        <f t="shared" si="40"/>
        <v>-0.64000000000000057</v>
      </c>
      <c r="I55" s="5">
        <f t="shared" si="41"/>
        <v>1.5583291593210002</v>
      </c>
      <c r="J55" s="6"/>
    </row>
  </sheetData>
  <mergeCells count="6">
    <mergeCell ref="J47:J55"/>
    <mergeCell ref="J2:J10"/>
    <mergeCell ref="J11:J19"/>
    <mergeCell ref="J20:J28"/>
    <mergeCell ref="J29:J37"/>
    <mergeCell ref="J38:J4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BF35-B93B-4E18-A0FB-EA84F5469F26}">
  <dimension ref="A1:F64"/>
  <sheetViews>
    <sheetView workbookViewId="0">
      <selection activeCell="L27" sqref="L27"/>
    </sheetView>
  </sheetViews>
  <sheetFormatPr defaultRowHeight="14" x14ac:dyDescent="0.3"/>
  <sheetData>
    <row r="1" spans="1:6" s="2" customFormat="1" x14ac:dyDescent="0.3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</row>
    <row r="2" spans="1:6" s="2" customFormat="1" x14ac:dyDescent="0.3">
      <c r="A2" s="2" t="s">
        <v>5</v>
      </c>
      <c r="B2" s="2" t="s">
        <v>6</v>
      </c>
      <c r="C2" s="2">
        <v>27.75</v>
      </c>
      <c r="D2" s="2">
        <v>88</v>
      </c>
      <c r="E2" s="2" t="s">
        <v>73</v>
      </c>
      <c r="F2" s="2" t="s">
        <v>48</v>
      </c>
    </row>
    <row r="3" spans="1:6" s="2" customFormat="1" x14ac:dyDescent="0.3">
      <c r="A3" s="2" t="s">
        <v>7</v>
      </c>
      <c r="B3" s="2" t="s">
        <v>6</v>
      </c>
      <c r="C3" s="2">
        <v>27.75</v>
      </c>
      <c r="D3" s="2">
        <v>88</v>
      </c>
      <c r="E3" s="2" t="s">
        <v>73</v>
      </c>
      <c r="F3" s="2" t="s">
        <v>48</v>
      </c>
    </row>
    <row r="4" spans="1:6" s="2" customFormat="1" x14ac:dyDescent="0.3">
      <c r="A4" s="2" t="s">
        <v>8</v>
      </c>
      <c r="B4" s="2" t="s">
        <v>6</v>
      </c>
      <c r="C4" s="2">
        <v>28.08</v>
      </c>
      <c r="D4" s="2">
        <v>88</v>
      </c>
      <c r="E4" s="2" t="s">
        <v>73</v>
      </c>
      <c r="F4" s="2" t="s">
        <v>48</v>
      </c>
    </row>
    <row r="5" spans="1:6" s="2" customFormat="1" ht="15.5" x14ac:dyDescent="0.3">
      <c r="A5" s="2" t="s">
        <v>9</v>
      </c>
      <c r="B5" s="2" t="s">
        <v>6</v>
      </c>
      <c r="C5" s="2">
        <v>26.39</v>
      </c>
      <c r="D5" s="2">
        <v>88</v>
      </c>
      <c r="E5" s="2" t="s">
        <v>73</v>
      </c>
      <c r="F5" s="4" t="s">
        <v>50</v>
      </c>
    </row>
    <row r="6" spans="1:6" s="2" customFormat="1" ht="15.5" x14ac:dyDescent="0.3">
      <c r="A6" s="2" t="s">
        <v>10</v>
      </c>
      <c r="B6" s="2" t="s">
        <v>6</v>
      </c>
      <c r="C6" s="2">
        <v>26.51</v>
      </c>
      <c r="D6" s="2">
        <v>88</v>
      </c>
      <c r="E6" s="2" t="s">
        <v>73</v>
      </c>
      <c r="F6" s="4" t="s">
        <v>50</v>
      </c>
    </row>
    <row r="7" spans="1:6" s="2" customFormat="1" ht="15.5" x14ac:dyDescent="0.3">
      <c r="A7" s="2" t="s">
        <v>11</v>
      </c>
      <c r="B7" s="2" t="s">
        <v>6</v>
      </c>
      <c r="C7" s="2">
        <v>26.29</v>
      </c>
      <c r="D7" s="2">
        <v>88</v>
      </c>
      <c r="E7" s="2" t="s">
        <v>73</v>
      </c>
      <c r="F7" s="4" t="s">
        <v>50</v>
      </c>
    </row>
    <row r="8" spans="1:6" s="2" customFormat="1" x14ac:dyDescent="0.3">
      <c r="A8" s="2" t="s">
        <v>12</v>
      </c>
      <c r="B8" s="2" t="s">
        <v>6</v>
      </c>
      <c r="C8" s="2">
        <v>26.29</v>
      </c>
      <c r="D8" s="2">
        <v>88</v>
      </c>
      <c r="E8" s="2" t="s">
        <v>73</v>
      </c>
      <c r="F8" s="2" t="s">
        <v>52</v>
      </c>
    </row>
    <row r="9" spans="1:6" s="2" customFormat="1" x14ac:dyDescent="0.3">
      <c r="A9" s="2" t="s">
        <v>13</v>
      </c>
      <c r="B9" s="2" t="s">
        <v>6</v>
      </c>
      <c r="C9" s="2">
        <v>26.37</v>
      </c>
      <c r="D9" s="2">
        <v>88</v>
      </c>
      <c r="E9" s="2" t="s">
        <v>73</v>
      </c>
      <c r="F9" s="2" t="s">
        <v>52</v>
      </c>
    </row>
    <row r="10" spans="1:6" s="2" customFormat="1" x14ac:dyDescent="0.3">
      <c r="A10" s="2" t="s">
        <v>14</v>
      </c>
      <c r="B10" s="2" t="s">
        <v>6</v>
      </c>
      <c r="C10" s="2">
        <v>26.91</v>
      </c>
      <c r="D10" s="2">
        <v>88</v>
      </c>
      <c r="E10" s="2" t="s">
        <v>73</v>
      </c>
      <c r="F10" s="2" t="s">
        <v>52</v>
      </c>
    </row>
    <row r="11" spans="1:6" s="2" customFormat="1" ht="15.5" x14ac:dyDescent="0.3">
      <c r="A11" s="2" t="s">
        <v>15</v>
      </c>
      <c r="B11" s="2" t="s">
        <v>6</v>
      </c>
      <c r="C11" s="2">
        <v>27.98</v>
      </c>
      <c r="D11" s="2">
        <v>79</v>
      </c>
      <c r="E11" s="2" t="s">
        <v>75</v>
      </c>
      <c r="F11" s="4" t="s">
        <v>48</v>
      </c>
    </row>
    <row r="12" spans="1:6" s="2" customFormat="1" ht="15.5" x14ac:dyDescent="0.3">
      <c r="A12" s="2" t="s">
        <v>16</v>
      </c>
      <c r="B12" s="2" t="s">
        <v>6</v>
      </c>
      <c r="C12" s="2">
        <v>27.91</v>
      </c>
      <c r="D12" s="2">
        <v>78.5</v>
      </c>
      <c r="E12" s="2" t="s">
        <v>75</v>
      </c>
      <c r="F12" s="4" t="s">
        <v>48</v>
      </c>
    </row>
    <row r="13" spans="1:6" s="2" customFormat="1" ht="15.5" x14ac:dyDescent="0.3">
      <c r="A13" s="2" t="s">
        <v>17</v>
      </c>
      <c r="B13" s="2" t="s">
        <v>6</v>
      </c>
      <c r="C13" s="2">
        <v>28.21</v>
      </c>
      <c r="D13" s="2">
        <v>79</v>
      </c>
      <c r="E13" s="2" t="s">
        <v>74</v>
      </c>
      <c r="F13" s="4" t="s">
        <v>48</v>
      </c>
    </row>
    <row r="14" spans="1:6" s="2" customFormat="1" x14ac:dyDescent="0.3">
      <c r="A14" s="2" t="s">
        <v>18</v>
      </c>
      <c r="B14" s="2" t="s">
        <v>6</v>
      </c>
      <c r="C14" s="2">
        <v>27.49</v>
      </c>
      <c r="D14" s="2">
        <v>79</v>
      </c>
      <c r="E14" s="2" t="s">
        <v>74</v>
      </c>
      <c r="F14" s="2" t="s">
        <v>50</v>
      </c>
    </row>
    <row r="15" spans="1:6" s="2" customFormat="1" x14ac:dyDescent="0.3">
      <c r="A15" s="2" t="s">
        <v>19</v>
      </c>
      <c r="B15" s="2" t="s">
        <v>6</v>
      </c>
      <c r="C15" s="2">
        <v>27.61</v>
      </c>
      <c r="D15" s="2">
        <v>78.5</v>
      </c>
      <c r="E15" s="2" t="s">
        <v>74</v>
      </c>
      <c r="F15" s="2" t="s">
        <v>50</v>
      </c>
    </row>
    <row r="16" spans="1:6" s="2" customFormat="1" x14ac:dyDescent="0.3">
      <c r="A16" s="2" t="s">
        <v>20</v>
      </c>
      <c r="B16" s="2" t="s">
        <v>6</v>
      </c>
      <c r="C16" s="2">
        <v>27.59</v>
      </c>
      <c r="D16" s="2">
        <v>78.5</v>
      </c>
      <c r="E16" s="2" t="s">
        <v>74</v>
      </c>
      <c r="F16" s="2" t="s">
        <v>50</v>
      </c>
    </row>
    <row r="17" spans="1:6" s="2" customFormat="1" ht="15.5" x14ac:dyDescent="0.3">
      <c r="A17" s="2" t="s">
        <v>21</v>
      </c>
      <c r="B17" s="2" t="s">
        <v>6</v>
      </c>
      <c r="C17" s="2">
        <v>27.66</v>
      </c>
      <c r="D17" s="2">
        <v>78.5</v>
      </c>
      <c r="E17" s="2" t="s">
        <v>74</v>
      </c>
      <c r="F17" s="4" t="s">
        <v>52</v>
      </c>
    </row>
    <row r="18" spans="1:6" s="2" customFormat="1" ht="15.5" x14ac:dyDescent="0.3">
      <c r="A18" s="2" t="s">
        <v>22</v>
      </c>
      <c r="B18" s="2" t="s">
        <v>6</v>
      </c>
      <c r="C18" s="2">
        <v>27.68</v>
      </c>
      <c r="D18" s="2">
        <v>78.5</v>
      </c>
      <c r="E18" s="2" t="s">
        <v>74</v>
      </c>
      <c r="F18" s="4" t="s">
        <v>52</v>
      </c>
    </row>
    <row r="19" spans="1:6" s="2" customFormat="1" ht="15.5" x14ac:dyDescent="0.3">
      <c r="A19" s="2" t="s">
        <v>23</v>
      </c>
      <c r="B19" s="2" t="s">
        <v>6</v>
      </c>
      <c r="C19" s="2">
        <v>27.65</v>
      </c>
      <c r="D19" s="2">
        <v>78.5</v>
      </c>
      <c r="E19" s="2" t="s">
        <v>74</v>
      </c>
      <c r="F19" s="4" t="s">
        <v>52</v>
      </c>
    </row>
    <row r="20" spans="1:6" s="2" customFormat="1" x14ac:dyDescent="0.3">
      <c r="A20" s="2" t="s">
        <v>24</v>
      </c>
      <c r="B20" s="2" t="s">
        <v>6</v>
      </c>
      <c r="C20" s="2">
        <v>27.32</v>
      </c>
      <c r="D20" s="2">
        <v>87</v>
      </c>
      <c r="E20" s="2" t="s">
        <v>77</v>
      </c>
      <c r="F20" s="2" t="s">
        <v>48</v>
      </c>
    </row>
    <row r="21" spans="1:6" s="2" customFormat="1" x14ac:dyDescent="0.3">
      <c r="A21" s="2" t="s">
        <v>25</v>
      </c>
      <c r="B21" s="2" t="s">
        <v>6</v>
      </c>
      <c r="C21" s="2">
        <v>26.95</v>
      </c>
      <c r="D21" s="2">
        <v>87.5</v>
      </c>
      <c r="E21" s="2" t="s">
        <v>77</v>
      </c>
      <c r="F21" s="2" t="s">
        <v>48</v>
      </c>
    </row>
    <row r="22" spans="1:6" s="2" customFormat="1" x14ac:dyDescent="0.3">
      <c r="A22" s="2" t="s">
        <v>26</v>
      </c>
      <c r="B22" s="2" t="s">
        <v>6</v>
      </c>
      <c r="C22" s="2">
        <v>27.31</v>
      </c>
      <c r="D22" s="2">
        <v>87.5</v>
      </c>
      <c r="E22" s="2" t="s">
        <v>76</v>
      </c>
      <c r="F22" s="2" t="s">
        <v>48</v>
      </c>
    </row>
    <row r="23" spans="1:6" s="2" customFormat="1" ht="15.5" x14ac:dyDescent="0.3">
      <c r="A23" s="2" t="s">
        <v>27</v>
      </c>
      <c r="B23" s="2" t="s">
        <v>6</v>
      </c>
      <c r="C23" s="2">
        <v>26.66</v>
      </c>
      <c r="D23" s="2">
        <v>87.5</v>
      </c>
      <c r="E23" s="2" t="s">
        <v>76</v>
      </c>
      <c r="F23" s="4" t="s">
        <v>50</v>
      </c>
    </row>
    <row r="24" spans="1:6" s="2" customFormat="1" ht="15.5" x14ac:dyDescent="0.3">
      <c r="A24" s="2" t="s">
        <v>28</v>
      </c>
      <c r="B24" s="2" t="s">
        <v>6</v>
      </c>
      <c r="C24" s="2">
        <v>26.59</v>
      </c>
      <c r="D24" s="2">
        <v>87.5</v>
      </c>
      <c r="E24" s="2" t="s">
        <v>76</v>
      </c>
      <c r="F24" s="4" t="s">
        <v>50</v>
      </c>
    </row>
    <row r="25" spans="1:6" s="2" customFormat="1" ht="15.5" x14ac:dyDescent="0.3">
      <c r="A25" s="2" t="s">
        <v>29</v>
      </c>
      <c r="B25" s="2" t="s">
        <v>6</v>
      </c>
      <c r="C25" s="2">
        <v>26.63</v>
      </c>
      <c r="D25" s="2">
        <v>87.5</v>
      </c>
      <c r="E25" s="2" t="s">
        <v>76</v>
      </c>
      <c r="F25" s="4" t="s">
        <v>50</v>
      </c>
    </row>
    <row r="26" spans="1:6" s="2" customFormat="1" x14ac:dyDescent="0.3">
      <c r="A26" s="2" t="s">
        <v>30</v>
      </c>
      <c r="B26" s="2" t="s">
        <v>6</v>
      </c>
      <c r="C26" s="2">
        <v>26.57</v>
      </c>
      <c r="D26" s="2">
        <v>87.5</v>
      </c>
      <c r="E26" s="2" t="s">
        <v>76</v>
      </c>
      <c r="F26" s="2" t="s">
        <v>52</v>
      </c>
    </row>
    <row r="27" spans="1:6" s="2" customFormat="1" x14ac:dyDescent="0.3">
      <c r="A27" s="2" t="s">
        <v>31</v>
      </c>
      <c r="B27" s="2" t="s">
        <v>6</v>
      </c>
      <c r="C27" s="2">
        <v>26.56</v>
      </c>
      <c r="D27" s="2">
        <v>87.5</v>
      </c>
      <c r="E27" s="2" t="s">
        <v>76</v>
      </c>
      <c r="F27" s="2" t="s">
        <v>52</v>
      </c>
    </row>
    <row r="28" spans="1:6" s="2" customFormat="1" x14ac:dyDescent="0.3">
      <c r="A28" s="2" t="s">
        <v>32</v>
      </c>
      <c r="B28" s="2" t="s">
        <v>6</v>
      </c>
      <c r="C28" s="2">
        <v>26.67</v>
      </c>
      <c r="D28" s="2">
        <v>87.5</v>
      </c>
      <c r="E28" s="2" t="s">
        <v>76</v>
      </c>
      <c r="F28" s="2" t="s">
        <v>52</v>
      </c>
    </row>
    <row r="29" spans="1:6" s="2" customFormat="1" ht="15.5" x14ac:dyDescent="0.3">
      <c r="A29" s="2" t="s">
        <v>33</v>
      </c>
      <c r="B29" s="2" t="s">
        <v>6</v>
      </c>
      <c r="C29" s="2">
        <v>22.69</v>
      </c>
      <c r="D29" s="2">
        <v>85</v>
      </c>
      <c r="E29" s="2" t="s">
        <v>78</v>
      </c>
      <c r="F29" s="4" t="s">
        <v>48</v>
      </c>
    </row>
    <row r="30" spans="1:6" s="2" customFormat="1" ht="15.5" x14ac:dyDescent="0.3">
      <c r="A30" s="2" t="s">
        <v>34</v>
      </c>
      <c r="B30" s="2" t="s">
        <v>6</v>
      </c>
      <c r="C30" s="2">
        <v>22.69</v>
      </c>
      <c r="D30" s="2">
        <v>85</v>
      </c>
      <c r="E30" s="2" t="s">
        <v>78</v>
      </c>
      <c r="F30" s="4" t="s">
        <v>48</v>
      </c>
    </row>
    <row r="31" spans="1:6" s="2" customFormat="1" ht="15.5" x14ac:dyDescent="0.3">
      <c r="A31" s="2" t="s">
        <v>35</v>
      </c>
      <c r="B31" s="2" t="s">
        <v>6</v>
      </c>
      <c r="C31" s="2">
        <v>22.7</v>
      </c>
      <c r="D31" s="2">
        <v>85</v>
      </c>
      <c r="E31" s="2" t="s">
        <v>78</v>
      </c>
      <c r="F31" s="4" t="s">
        <v>48</v>
      </c>
    </row>
    <row r="32" spans="1:6" x14ac:dyDescent="0.3">
      <c r="A32" s="2" t="s">
        <v>42</v>
      </c>
      <c r="B32" s="2" t="s">
        <v>6</v>
      </c>
      <c r="C32">
        <v>21.97</v>
      </c>
      <c r="D32">
        <v>85</v>
      </c>
      <c r="E32" s="2" t="s">
        <v>78</v>
      </c>
      <c r="F32" s="2" t="s">
        <v>50</v>
      </c>
    </row>
    <row r="33" spans="1:6" x14ac:dyDescent="0.3">
      <c r="A33" s="2" t="s">
        <v>43</v>
      </c>
      <c r="B33" s="2" t="s">
        <v>6</v>
      </c>
      <c r="C33">
        <v>21.84</v>
      </c>
      <c r="D33">
        <v>85</v>
      </c>
      <c r="E33" s="2" t="s">
        <v>78</v>
      </c>
      <c r="F33" s="2" t="s">
        <v>50</v>
      </c>
    </row>
    <row r="34" spans="1:6" x14ac:dyDescent="0.3">
      <c r="A34" s="2" t="s">
        <v>44</v>
      </c>
      <c r="B34" s="2" t="s">
        <v>6</v>
      </c>
      <c r="C34">
        <v>21.9</v>
      </c>
      <c r="D34">
        <v>85</v>
      </c>
      <c r="E34" s="2" t="s">
        <v>78</v>
      </c>
      <c r="F34" s="2" t="s">
        <v>50</v>
      </c>
    </row>
    <row r="35" spans="1:6" ht="15.5" x14ac:dyDescent="0.3">
      <c r="A35" s="2" t="s">
        <v>45</v>
      </c>
      <c r="B35" s="2" t="s">
        <v>6</v>
      </c>
      <c r="C35">
        <v>20.83</v>
      </c>
      <c r="D35">
        <v>85</v>
      </c>
      <c r="E35" s="2" t="s">
        <v>78</v>
      </c>
      <c r="F35" s="4" t="s">
        <v>52</v>
      </c>
    </row>
    <row r="36" spans="1:6" ht="15.5" x14ac:dyDescent="0.3">
      <c r="A36" s="2" t="s">
        <v>46</v>
      </c>
      <c r="B36" s="2" t="s">
        <v>6</v>
      </c>
      <c r="C36">
        <v>20.83</v>
      </c>
      <c r="D36">
        <v>85</v>
      </c>
      <c r="E36" s="2" t="s">
        <v>78</v>
      </c>
      <c r="F36" s="4" t="s">
        <v>52</v>
      </c>
    </row>
    <row r="37" spans="1:6" ht="15.5" x14ac:dyDescent="0.3">
      <c r="A37" s="2" t="s">
        <v>47</v>
      </c>
      <c r="B37" s="2" t="s">
        <v>6</v>
      </c>
      <c r="C37">
        <v>20.77</v>
      </c>
      <c r="D37">
        <v>85</v>
      </c>
      <c r="E37" s="2" t="s">
        <v>78</v>
      </c>
      <c r="F37" s="4" t="s">
        <v>52</v>
      </c>
    </row>
    <row r="38" spans="1:6" x14ac:dyDescent="0.3">
      <c r="A38" s="2" t="s">
        <v>54</v>
      </c>
      <c r="B38" s="2" t="s">
        <v>6</v>
      </c>
      <c r="C38">
        <v>23.69</v>
      </c>
      <c r="D38">
        <v>80.5</v>
      </c>
      <c r="E38" t="s">
        <v>81</v>
      </c>
      <c r="F38" t="s">
        <v>48</v>
      </c>
    </row>
    <row r="39" spans="1:6" x14ac:dyDescent="0.3">
      <c r="A39" s="2" t="s">
        <v>55</v>
      </c>
      <c r="B39" s="2" t="s">
        <v>6</v>
      </c>
      <c r="C39">
        <v>24.01</v>
      </c>
      <c r="D39">
        <v>80.5</v>
      </c>
      <c r="E39" t="s">
        <v>81</v>
      </c>
      <c r="F39" t="s">
        <v>48</v>
      </c>
    </row>
    <row r="40" spans="1:6" x14ac:dyDescent="0.3">
      <c r="A40" s="2" t="s">
        <v>56</v>
      </c>
      <c r="B40" s="2" t="s">
        <v>6</v>
      </c>
      <c r="C40">
        <v>23.82</v>
      </c>
      <c r="D40">
        <v>80.5</v>
      </c>
      <c r="E40" t="s">
        <v>81</v>
      </c>
      <c r="F40" t="s">
        <v>48</v>
      </c>
    </row>
    <row r="41" spans="1:6" x14ac:dyDescent="0.3">
      <c r="A41" s="2" t="s">
        <v>57</v>
      </c>
      <c r="B41" s="2" t="s">
        <v>6</v>
      </c>
      <c r="C41">
        <v>25.18</v>
      </c>
      <c r="D41">
        <v>80</v>
      </c>
      <c r="E41" t="s">
        <v>81</v>
      </c>
      <c r="F41" t="s">
        <v>50</v>
      </c>
    </row>
    <row r="42" spans="1:6" x14ac:dyDescent="0.3">
      <c r="A42" s="2" t="s">
        <v>58</v>
      </c>
      <c r="B42" s="2" t="s">
        <v>6</v>
      </c>
      <c r="C42">
        <v>25.11</v>
      </c>
      <c r="D42">
        <v>80</v>
      </c>
      <c r="E42" t="s">
        <v>81</v>
      </c>
      <c r="F42" t="s">
        <v>50</v>
      </c>
    </row>
    <row r="43" spans="1:6" x14ac:dyDescent="0.3">
      <c r="A43" s="2" t="s">
        <v>59</v>
      </c>
      <c r="B43" s="2" t="s">
        <v>6</v>
      </c>
      <c r="C43">
        <v>25.31</v>
      </c>
      <c r="D43">
        <v>80</v>
      </c>
      <c r="E43" t="s">
        <v>81</v>
      </c>
      <c r="F43" t="s">
        <v>50</v>
      </c>
    </row>
    <row r="44" spans="1:6" x14ac:dyDescent="0.3">
      <c r="A44" s="2" t="s">
        <v>60</v>
      </c>
      <c r="B44" s="2" t="s">
        <v>6</v>
      </c>
      <c r="C44">
        <v>25.31</v>
      </c>
      <c r="D44">
        <v>80</v>
      </c>
      <c r="E44" t="s">
        <v>81</v>
      </c>
      <c r="F44" t="s">
        <v>52</v>
      </c>
    </row>
    <row r="45" spans="1:6" x14ac:dyDescent="0.3">
      <c r="A45" s="2" t="s">
        <v>61</v>
      </c>
      <c r="B45" s="2" t="s">
        <v>6</v>
      </c>
      <c r="C45">
        <v>25.39</v>
      </c>
      <c r="D45">
        <v>80</v>
      </c>
      <c r="E45" t="s">
        <v>81</v>
      </c>
      <c r="F45" t="s">
        <v>52</v>
      </c>
    </row>
    <row r="46" spans="1:6" x14ac:dyDescent="0.3">
      <c r="A46" s="2" t="s">
        <v>62</v>
      </c>
      <c r="B46" s="2" t="s">
        <v>6</v>
      </c>
      <c r="C46">
        <v>25.39</v>
      </c>
      <c r="D46">
        <v>80</v>
      </c>
      <c r="E46" t="s">
        <v>81</v>
      </c>
      <c r="F46" t="s">
        <v>52</v>
      </c>
    </row>
    <row r="47" spans="1:6" x14ac:dyDescent="0.3">
      <c r="A47" s="2" t="s">
        <v>64</v>
      </c>
      <c r="B47" s="2" t="s">
        <v>6</v>
      </c>
      <c r="C47">
        <v>28.31</v>
      </c>
      <c r="D47">
        <v>86</v>
      </c>
      <c r="E47" t="s">
        <v>80</v>
      </c>
      <c r="F47" t="s">
        <v>48</v>
      </c>
    </row>
    <row r="48" spans="1:6" x14ac:dyDescent="0.3">
      <c r="A48" s="2" t="s">
        <v>65</v>
      </c>
      <c r="B48" s="2" t="s">
        <v>6</v>
      </c>
      <c r="C48">
        <v>28.3</v>
      </c>
      <c r="D48">
        <v>86</v>
      </c>
      <c r="E48" t="s">
        <v>80</v>
      </c>
      <c r="F48" t="s">
        <v>48</v>
      </c>
    </row>
    <row r="49" spans="1:6" x14ac:dyDescent="0.3">
      <c r="A49" s="2" t="s">
        <v>66</v>
      </c>
      <c r="B49" s="2" t="s">
        <v>6</v>
      </c>
      <c r="C49">
        <v>28.35</v>
      </c>
      <c r="D49">
        <v>86</v>
      </c>
      <c r="E49" t="s">
        <v>79</v>
      </c>
      <c r="F49" t="s">
        <v>48</v>
      </c>
    </row>
    <row r="50" spans="1:6" x14ac:dyDescent="0.3">
      <c r="A50" s="2" t="s">
        <v>67</v>
      </c>
      <c r="B50" s="2" t="s">
        <v>6</v>
      </c>
      <c r="C50">
        <v>27.76</v>
      </c>
      <c r="D50">
        <v>86</v>
      </c>
      <c r="E50" t="s">
        <v>79</v>
      </c>
      <c r="F50" t="s">
        <v>50</v>
      </c>
    </row>
    <row r="51" spans="1:6" x14ac:dyDescent="0.3">
      <c r="A51" s="2" t="s">
        <v>68</v>
      </c>
      <c r="B51" s="2" t="s">
        <v>6</v>
      </c>
      <c r="C51">
        <v>27.96</v>
      </c>
      <c r="D51">
        <v>86</v>
      </c>
      <c r="E51" t="s">
        <v>79</v>
      </c>
      <c r="F51" t="s">
        <v>50</v>
      </c>
    </row>
    <row r="52" spans="1:6" x14ac:dyDescent="0.3">
      <c r="A52" s="2" t="s">
        <v>69</v>
      </c>
      <c r="B52" s="2" t="s">
        <v>6</v>
      </c>
      <c r="C52">
        <v>27.62</v>
      </c>
      <c r="D52">
        <v>86</v>
      </c>
      <c r="E52" t="s">
        <v>79</v>
      </c>
      <c r="F52" t="s">
        <v>50</v>
      </c>
    </row>
    <row r="53" spans="1:6" x14ac:dyDescent="0.3">
      <c r="A53" s="2" t="s">
        <v>70</v>
      </c>
      <c r="B53" s="2" t="s">
        <v>6</v>
      </c>
      <c r="C53">
        <v>27.79</v>
      </c>
      <c r="D53">
        <v>86</v>
      </c>
      <c r="E53" t="s">
        <v>79</v>
      </c>
      <c r="F53" t="s">
        <v>52</v>
      </c>
    </row>
    <row r="54" spans="1:6" x14ac:dyDescent="0.3">
      <c r="A54" s="2" t="s">
        <v>71</v>
      </c>
      <c r="B54" s="2" t="s">
        <v>6</v>
      </c>
      <c r="C54">
        <v>27.77</v>
      </c>
      <c r="D54">
        <v>86</v>
      </c>
      <c r="E54" t="s">
        <v>79</v>
      </c>
      <c r="F54" t="s">
        <v>52</v>
      </c>
    </row>
    <row r="55" spans="1:6" x14ac:dyDescent="0.3">
      <c r="A55" s="2" t="s">
        <v>72</v>
      </c>
      <c r="B55" s="2" t="s">
        <v>6</v>
      </c>
      <c r="C55">
        <v>27.73</v>
      </c>
      <c r="D55">
        <v>86</v>
      </c>
      <c r="E55" t="s">
        <v>79</v>
      </c>
      <c r="F55" t="s">
        <v>52</v>
      </c>
    </row>
    <row r="56" spans="1:6" x14ac:dyDescent="0.3">
      <c r="A56" s="2" t="s">
        <v>82</v>
      </c>
      <c r="B56" s="2" t="s">
        <v>6</v>
      </c>
      <c r="C56">
        <v>20.75</v>
      </c>
      <c r="D56">
        <v>77</v>
      </c>
      <c r="E56" t="s">
        <v>63</v>
      </c>
      <c r="F56" t="s">
        <v>48</v>
      </c>
    </row>
    <row r="57" spans="1:6" x14ac:dyDescent="0.3">
      <c r="A57" s="2" t="s">
        <v>83</v>
      </c>
      <c r="B57" s="2" t="s">
        <v>6</v>
      </c>
      <c r="C57">
        <v>20.67</v>
      </c>
      <c r="D57">
        <v>77</v>
      </c>
      <c r="E57" t="s">
        <v>63</v>
      </c>
      <c r="F57" t="s">
        <v>48</v>
      </c>
    </row>
    <row r="58" spans="1:6" x14ac:dyDescent="0.3">
      <c r="A58" s="2" t="s">
        <v>84</v>
      </c>
      <c r="B58" s="2" t="s">
        <v>6</v>
      </c>
      <c r="C58">
        <v>20.57</v>
      </c>
      <c r="D58">
        <v>77</v>
      </c>
      <c r="E58" t="s">
        <v>63</v>
      </c>
      <c r="F58" t="s">
        <v>48</v>
      </c>
    </row>
    <row r="59" spans="1:6" x14ac:dyDescent="0.3">
      <c r="A59" s="2" t="s">
        <v>85</v>
      </c>
      <c r="B59" s="2" t="s">
        <v>6</v>
      </c>
      <c r="C59">
        <v>20.74</v>
      </c>
      <c r="D59">
        <v>77</v>
      </c>
      <c r="E59" t="s">
        <v>63</v>
      </c>
      <c r="F59" t="s">
        <v>50</v>
      </c>
    </row>
    <row r="60" spans="1:6" x14ac:dyDescent="0.3">
      <c r="A60" s="2" t="s">
        <v>86</v>
      </c>
      <c r="B60" s="2" t="s">
        <v>6</v>
      </c>
      <c r="C60">
        <v>20.77</v>
      </c>
      <c r="D60">
        <v>77</v>
      </c>
      <c r="E60" t="s">
        <v>63</v>
      </c>
      <c r="F60" t="s">
        <v>50</v>
      </c>
    </row>
    <row r="61" spans="1:6" x14ac:dyDescent="0.3">
      <c r="A61" s="2" t="s">
        <v>87</v>
      </c>
      <c r="B61" s="2" t="s">
        <v>6</v>
      </c>
      <c r="C61">
        <v>20.74</v>
      </c>
      <c r="D61">
        <v>77</v>
      </c>
      <c r="E61" t="s">
        <v>63</v>
      </c>
      <c r="F61" t="s">
        <v>50</v>
      </c>
    </row>
    <row r="62" spans="1:6" x14ac:dyDescent="0.3">
      <c r="A62" s="2" t="s">
        <v>88</v>
      </c>
      <c r="B62" s="2" t="s">
        <v>6</v>
      </c>
      <c r="C62">
        <v>20.9</v>
      </c>
      <c r="D62">
        <v>77</v>
      </c>
      <c r="E62" t="s">
        <v>63</v>
      </c>
      <c r="F62" t="s">
        <v>52</v>
      </c>
    </row>
    <row r="63" spans="1:6" x14ac:dyDescent="0.3">
      <c r="A63" s="2" t="s">
        <v>89</v>
      </c>
      <c r="B63" s="2" t="s">
        <v>6</v>
      </c>
      <c r="C63">
        <v>20.74</v>
      </c>
      <c r="D63">
        <v>77</v>
      </c>
      <c r="E63" t="s">
        <v>63</v>
      </c>
      <c r="F63" t="s">
        <v>52</v>
      </c>
    </row>
    <row r="64" spans="1:6" x14ac:dyDescent="0.3">
      <c r="A64" s="2" t="s">
        <v>90</v>
      </c>
      <c r="B64" s="2" t="s">
        <v>6</v>
      </c>
      <c r="C64">
        <v>20.5</v>
      </c>
      <c r="D64">
        <v>77</v>
      </c>
      <c r="E64" t="s">
        <v>63</v>
      </c>
      <c r="F64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analysis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Ada</cp:lastModifiedBy>
  <dcterms:created xsi:type="dcterms:W3CDTF">2015-06-05T18:19:34Z</dcterms:created>
  <dcterms:modified xsi:type="dcterms:W3CDTF">2026-03-19T02:01:49Z</dcterms:modified>
</cp:coreProperties>
</file>